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7.xml" ContentType="application/vnd.ms-excel.controlproperties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trlProps/ctrlProp10.xml" ContentType="application/vnd.ms-excel.controlproperties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trlProps/ctrlProp12.xml" ContentType="application/vnd.ms-excel.controlproperties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trlProps/ctrlProp13.xml" ContentType="application/vnd.ms-excel.controlproperties+xml"/>
  <Override PartName="/xl/charts/chart13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trlProps/ctrlProp14.xml" ContentType="application/vnd.ms-excel.controlproperties+xml"/>
  <Override PartName="/xl/charts/chart14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trlProps/ctrlProp15.xml" ContentType="application/vnd.ms-excel.controlproperties+xml"/>
  <Override PartName="/xl/charts/chart15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trlProps/ctrlProp16.xml" ContentType="application/vnd.ms-excel.controlproperties+xml"/>
  <Override PartName="/xl/charts/chart1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trlProps/ctrlProp17.xml" ContentType="application/vnd.ms-excel.controlproperties+xml"/>
  <Override PartName="/xl/charts/chart17.xml" ContentType="application/vnd.openxmlformats-officedocument.drawingml.chart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europaeu-my.sharepoint.com/personal/aleksander_rutkowski_ec_europa_eu/Documents/Social_Scoreboard_in_R/FRESH NEW APPROACH/"/>
    </mc:Choice>
  </mc:AlternateContent>
  <xr:revisionPtr revIDLastSave="0" documentId="13_ncr:1_{395AC37F-B05C-4F17-80F7-CAF438FAD438}" xr6:coauthVersionLast="47" xr6:coauthVersionMax="47" xr10:uidLastSave="{00000000-0000-0000-0000-000000000000}"/>
  <bookViews>
    <workbookView xWindow="-103" yWindow="-103" windowWidth="33120" windowHeight="21549" xr2:uid="{909F85BE-47F5-4874-AD78-45775E9DE83A}"/>
  </bookViews>
  <sheets>
    <sheet name="ID0" sheetId="6" r:id="rId1"/>
    <sheet name="ID1" sheetId="7" r:id="rId2"/>
    <sheet name="ID4" sheetId="8" r:id="rId3"/>
    <sheet name="ID7" sheetId="9" r:id="rId4"/>
    <sheet name="ID17" sheetId="10" r:id="rId5"/>
    <sheet name="ID20" sheetId="11" r:id="rId6"/>
    <sheet name="ID22" sheetId="12" r:id="rId7"/>
    <sheet name="ID31" sheetId="13" r:id="rId8"/>
    <sheet name="ID50" sheetId="14" r:id="rId9"/>
    <sheet name="ID61" sheetId="15" r:id="rId10"/>
    <sheet name="ID66" sheetId="16" r:id="rId11"/>
    <sheet name="ID83" sheetId="17" r:id="rId12"/>
    <sheet name="ID99" sheetId="18" r:id="rId13"/>
    <sheet name="ID106" sheetId="19" r:id="rId14"/>
    <sheet name="ID109" sheetId="20" r:id="rId15"/>
    <sheet name="ID113" sheetId="21" r:id="rId16"/>
    <sheet name="ID114" sheetId="22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2" l="1"/>
  <c r="B5" i="22"/>
  <c r="B8" i="21"/>
  <c r="B5" i="21"/>
  <c r="B8" i="20"/>
  <c r="B5" i="20"/>
  <c r="B8" i="19"/>
  <c r="B5" i="19"/>
  <c r="B8" i="18"/>
  <c r="B5" i="18"/>
  <c r="B8" i="17"/>
  <c r="B5" i="17"/>
  <c r="B8" i="16"/>
  <c r="B5" i="16"/>
  <c r="B8" i="15"/>
  <c r="B5" i="15"/>
  <c r="B8" i="14"/>
  <c r="B5" i="14"/>
  <c r="B8" i="13"/>
  <c r="B5" i="13"/>
  <c r="B8" i="12"/>
  <c r="B5" i="12"/>
  <c r="B8" i="11"/>
  <c r="B5" i="11"/>
  <c r="B8" i="10"/>
  <c r="B5" i="10"/>
  <c r="B8" i="9"/>
  <c r="B5" i="9"/>
  <c r="B8" i="8"/>
  <c r="B5" i="8"/>
  <c r="B8" i="7"/>
  <c r="B5" i="7"/>
  <c r="B8" i="6"/>
  <c r="B5" i="6"/>
</calcChain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90">
    <s v="ThisWorkbookDataModel"/>
    <s v="[SCATTER].[geo].&amp;[SK]"/>
    <s v="[SCATTER].[colour].&amp;[green]"/>
    <s v="[Measures].[Sum of ydiff]"/>
    <s v="{[SCATTER].[ind].&amp;[ID0]}"/>
    <s v="[Measures].[Sum of level]"/>
    <s v="[SCATTER].[geo].&amp;[SI]"/>
    <s v="[SCATTER].[colour].&amp;[orange]"/>
    <s v="[SCATTER].[geo].&amp;[SE]"/>
    <s v="[SCATTER].[colour].&amp;[dark_green]"/>
    <s v="[SCATTER].[geo].&amp;[RO]"/>
    <s v="[SCATTER].[colour].&amp;[yellow]"/>
    <s v="[SCATTER].[geo].&amp;[PT]"/>
    <s v="[SCATTER].[colour].&amp;[white]"/>
    <s v="[SCATTER].[geo].&amp;[PL]"/>
    <s v="[SCATTER].[colour].&amp;[red]"/>
    <s v="[SCATTER].[geo].&amp;[NL]"/>
    <s v="[SCATTER].[geo].&amp;[MT]"/>
    <s v="[SCATTER].[geo].&amp;[LV]"/>
    <s v="[SCATTER].[geo].&amp;[LU]"/>
    <s v="[SCATTER].[geo].&amp;[LT]"/>
    <s v="[SCATTER].[geo].&amp;[IT]"/>
    <s v="[SCATTER].[geo].&amp;[IE]"/>
    <s v="[SCATTER].[geo].&amp;[HU]"/>
    <s v="[SCATTER].[geo].&amp;[HR]"/>
    <s v="[SCATTER].[geo].&amp;[FR]"/>
    <s v="[SCATTER].[geo].&amp;[FI]"/>
    <s v="[SCATTER].[geo].&amp;[ES]"/>
    <s v="[SCATTER].[geo].&amp;[EL]"/>
    <s v="[SCATTER].[geo].&amp;[EE]"/>
    <s v="[SCATTER].[geo].&amp;[DK]"/>
    <s v="[SCATTER].[geo].&amp;[DE]"/>
    <s v="[SCATTER].[geo].&amp;[CZ]"/>
    <s v="[SCATTER].[geo].&amp;[CY]"/>
    <s v="[SCATTER].[geo].&amp;[BG]"/>
    <s v="[SCATTER].[geo].&amp;[BE]"/>
    <s v="[SCATTER].[geo].&amp;[AT]"/>
    <s v="[SCATTER].[colour].&amp;[blue]"/>
    <s v="[SCATTER].[id_geo].&amp;[ID0BE]"/>
    <s v="[SCATTER].[year].&amp;[2022]"/>
    <s v="[SCATTER].[indicator].&amp;[Adult participation in learning (during the last 12 months, excl. guided on the job training, % of the population aged 25-64)]"/>
    <s v="{[SCATTER].[ind].&amp;[ID1]}"/>
    <s v="[SCATTER].[id_geo].&amp;[ID1BE]"/>
    <s v="[SCATTER].[year].&amp;[2023]"/>
    <s v="[SCATTER].[indicator].&amp;[Early leavers from education and training (% of population aged 18-24)]"/>
    <s v="{[SCATTER].[ind].&amp;[ID4]}"/>
    <s v="[SCATTER].[id_geo].&amp;[ID4BE]"/>
    <s v="[SCATTER].[indicator].&amp;[Share of individuals who have basic or above basic overall digital skills (% of population aged 16-74)]"/>
    <s v="{[SCATTER].[ind].&amp;[ID7]}"/>
    <s v="[SCATTER].[id_geo].&amp;[ID7BE]"/>
    <s v="[SCATTER].[indicator].&amp;[Young people not in employment, education or training (% of total population aged 15-29)]"/>
    <s v="{[SCATTER].[ind].&amp;[ID17]}"/>
    <s v="[SCATTER].[id_geo].&amp;[ID17BE]"/>
    <s v="[SCATTER].[indicator].&amp;[Gender employment gap (percentage points, population aged 20-64)]"/>
    <s v="{[SCATTER].[ind].&amp;[ID20]}"/>
    <s v="[SCATTER].[id_geo].&amp;[ID20BE]"/>
    <s v="[SCATTER].[indicator].&amp;[Income quintile ratio (S80/S20)]"/>
    <s v="{[SCATTER].[ind].&amp;[ID22]}"/>
    <s v="[SCATTER].[id_geo].&amp;[ID22BE]"/>
    <s v="[SCATTER].[indicator].&amp;[Employment rate (% of population aged 20-64)]"/>
    <s v="{[SCATTER].[ind].&amp;[ID31]}"/>
    <s v="[SCATTER].[id_geo].&amp;[ID31BE]"/>
    <s v="[SCATTER].[indicator].&amp;[Unemployment rate (% of active population aged 15-74)]"/>
    <s v="{[SCATTER].[ind].&amp;[ID50]}"/>
    <s v="[SCATTER].[id_geo].&amp;[ID50BE]"/>
    <s v="[SCATTER].[indicator].&amp;[Long-term unemployment rate (% active population aged 15-74)]"/>
    <s v="{[SCATTER].[ind].&amp;[ID61]}"/>
    <s v="[SCATTER].[id_geo].&amp;[ID61BE]"/>
    <s v="[SCATTER].[indicator].&amp;[Gross disposable household income (GDHI) per capita growth (index, 2008=100)]"/>
    <s v="{[SCATTER].[ind].&amp;[ID66]}"/>
    <s v="[SCATTER].[id_geo].&amp;[ID66BE]"/>
    <s v="[SCATTER].[indicator].&amp;[At risk of poverty or social exclusion (AROPE) rate (% of total population)]"/>
    <s v="{[SCATTER].[ind].&amp;[ID83]}"/>
    <s v="[SCATTER].[id_geo].&amp;[ID83BE]"/>
    <s v="[SCATTER].[indicator].&amp;[At risk of poverty or social exclusion (AROPE) rate for children (% of population aged 0-17)]"/>
    <s v="{[SCATTER].[ind].&amp;[ID99]}"/>
    <s v="[SCATTER].[id_geo].&amp;[ID99BE]"/>
    <s v="[SCATTER].[indicator].&amp;[Impact of social transfers (other than pensions) on poverty reduction (% reduction of AROP)]"/>
    <s v="{[SCATTER].[ind].&amp;[ID106]}"/>
    <s v="[SCATTER].[id_geo].&amp;[ID106BE]"/>
    <s v="[SCATTER].[indicator].&amp;[Disability employment gap (percentage points, population aged 20-64)]"/>
    <s v="{[SCATTER].[ind].&amp;[ID109]}"/>
    <s v="[SCATTER].[id_geo].&amp;[ID109BE]"/>
    <s v="[SCATTER].[indicator].&amp;[Housing cost overburden (% of total population)]"/>
    <s v="{[SCATTER].[ind].&amp;[ID113]}"/>
    <s v="[SCATTER].[id_geo].&amp;[ID113BE]"/>
    <s v="[SCATTER].[indicator].&amp;[Children aged less than 3 years in formal childcare (% of the under 3-years-old population)]"/>
    <s v="{[SCATTER].[ind].&amp;[ID114]}"/>
    <s v="[SCATTER].[id_geo].&amp;[ID114BE]"/>
    <s v="[SCATTER].[indicator].&amp;[Self-reported unmet need for medical care (% of population 16+)]"/>
  </metadataStrings>
  <mdxMetadata count="1440">
    <mdx n="0" f="v">
      <t c="4" fi="0">
        <n x="1"/>
        <n x="2"/>
        <n x="3"/>
        <n x="4" s="1"/>
      </t>
    </mdx>
    <mdx n="0" f="v">
      <t c="3" fi="0">
        <n x="1"/>
        <n x="5"/>
        <n x="4" s="1"/>
      </t>
    </mdx>
    <mdx n="0" f="m">
      <t c="1">
        <n x="1"/>
      </t>
    </mdx>
    <mdx n="0" f="v">
      <t c="3" fi="0">
        <n x="1"/>
        <n x="3"/>
        <n x="4" s="1"/>
      </t>
    </mdx>
    <mdx n="0" f="v">
      <t c="4" fi="0">
        <n x="6"/>
        <n x="7"/>
        <n x="3"/>
        <n x="4" s="1"/>
      </t>
    </mdx>
    <mdx n="0" f="v">
      <t c="3" fi="0">
        <n x="6"/>
        <n x="5"/>
        <n x="4" s="1"/>
      </t>
    </mdx>
    <mdx n="0" f="m">
      <t c="1">
        <n x="6"/>
      </t>
    </mdx>
    <mdx n="0" f="v">
      <t c="3" fi="0">
        <n x="6"/>
        <n x="3"/>
        <n x="4" s="1"/>
      </t>
    </mdx>
    <mdx n="0" f="v">
      <t c="4" fi="0">
        <n x="8"/>
        <n x="9"/>
        <n x="3"/>
        <n x="4" s="1"/>
      </t>
    </mdx>
    <mdx n="0" f="v">
      <t c="3" fi="0">
        <n x="8"/>
        <n x="5"/>
        <n x="4" s="1"/>
      </t>
    </mdx>
    <mdx n="0" f="m">
      <t c="1">
        <n x="8"/>
      </t>
    </mdx>
    <mdx n="0" f="v">
      <t c="3" fi="0">
        <n x="8"/>
        <n x="3"/>
        <n x="4" s="1"/>
      </t>
    </mdx>
    <mdx n="0" f="v">
      <t c="4" fi="0">
        <n x="10"/>
        <n x="11"/>
        <n x="3"/>
        <n x="4" s="1"/>
      </t>
    </mdx>
    <mdx n="0" f="v">
      <t c="3" fi="0">
        <n x="10"/>
        <n x="5"/>
        <n x="4" s="1"/>
      </t>
    </mdx>
    <mdx n="0" f="m">
      <t c="1">
        <n x="10"/>
      </t>
    </mdx>
    <mdx n="0" f="v">
      <t c="3" fi="0">
        <n x="10"/>
        <n x="3"/>
        <n x="4" s="1"/>
      </t>
    </mdx>
    <mdx n="0" f="v">
      <t c="4" fi="0">
        <n x="12"/>
        <n x="13"/>
        <n x="3"/>
        <n x="4" s="1"/>
      </t>
    </mdx>
    <mdx n="0" f="v">
      <t c="3" fi="0">
        <n x="12"/>
        <n x="5"/>
        <n x="4" s="1"/>
      </t>
    </mdx>
    <mdx n="0" f="m">
      <t c="1">
        <n x="12"/>
      </t>
    </mdx>
    <mdx n="0" f="v">
      <t c="3" fi="0">
        <n x="12"/>
        <n x="3"/>
        <n x="4" s="1"/>
      </t>
    </mdx>
    <mdx n="0" f="v">
      <t c="4" fi="0">
        <n x="14"/>
        <n x="15"/>
        <n x="3"/>
        <n x="4" s="1"/>
      </t>
    </mdx>
    <mdx n="0" f="v">
      <t c="3" fi="0">
        <n x="14"/>
        <n x="5"/>
        <n x="4" s="1"/>
      </t>
    </mdx>
    <mdx n="0" f="m">
      <t c="1">
        <n x="14"/>
      </t>
    </mdx>
    <mdx n="0" f="v">
      <t c="3" fi="0">
        <n x="14"/>
        <n x="3"/>
        <n x="4" s="1"/>
      </t>
    </mdx>
    <mdx n="0" f="v">
      <t c="4" fi="0">
        <n x="16"/>
        <n x="9"/>
        <n x="3"/>
        <n x="4" s="1"/>
      </t>
    </mdx>
    <mdx n="0" f="v">
      <t c="3" fi="0">
        <n x="16"/>
        <n x="5"/>
        <n x="4" s="1"/>
      </t>
    </mdx>
    <mdx n="0" f="m">
      <t c="1">
        <n x="16"/>
      </t>
    </mdx>
    <mdx n="0" f="v">
      <t c="3" fi="0">
        <n x="16"/>
        <n x="3"/>
        <n x="4" s="1"/>
      </t>
    </mdx>
    <mdx n="0" f="v">
      <t c="4" fi="0">
        <n x="17"/>
        <n x="2"/>
        <n x="3"/>
        <n x="4" s="1"/>
      </t>
    </mdx>
    <mdx n="0" f="v">
      <t c="3" fi="0">
        <n x="17"/>
        <n x="5"/>
        <n x="4" s="1"/>
      </t>
    </mdx>
    <mdx n="0" f="m">
      <t c="1">
        <n x="17"/>
      </t>
    </mdx>
    <mdx n="0" f="v">
      <t c="3" fi="0">
        <n x="17"/>
        <n x="3"/>
        <n x="4" s="1"/>
      </t>
    </mdx>
    <mdx n="0" f="v">
      <t c="4" fi="0">
        <n x="18"/>
        <n x="13"/>
        <n x="3"/>
        <n x="4" s="1"/>
      </t>
    </mdx>
    <mdx n="0" f="v">
      <t c="3" fi="0">
        <n x="18"/>
        <n x="5"/>
        <n x="4" s="1"/>
      </t>
    </mdx>
    <mdx n="0" f="m">
      <t c="1">
        <n x="18"/>
      </t>
    </mdx>
    <mdx n="0" f="v">
      <t c="3" fi="0">
        <n x="18"/>
        <n x="3"/>
        <n x="4" s="1"/>
      </t>
    </mdx>
    <mdx n="0" f="v">
      <t c="4" fi="0">
        <n x="19"/>
        <n x="2"/>
        <n x="3"/>
        <n x="4" s="1"/>
      </t>
    </mdx>
    <mdx n="0" f="v">
      <t c="3" fi="0">
        <n x="19"/>
        <n x="5"/>
        <n x="4" s="1"/>
      </t>
    </mdx>
    <mdx n="0" f="m">
      <t c="1">
        <n x="19"/>
      </t>
    </mdx>
    <mdx n="0" f="v">
      <t c="3" fi="0">
        <n x="19"/>
        <n x="3"/>
        <n x="4" s="1"/>
      </t>
    </mdx>
    <mdx n="0" f="v">
      <t c="4" fi="0">
        <n x="20"/>
        <n x="7"/>
        <n x="3"/>
        <n x="4" s="1"/>
      </t>
    </mdx>
    <mdx n="0" f="v">
      <t c="3" fi="0">
        <n x="20"/>
        <n x="5"/>
        <n x="4" s="1"/>
      </t>
    </mdx>
    <mdx n="0" f="m">
      <t c="1">
        <n x="20"/>
      </t>
    </mdx>
    <mdx n="0" f="v">
      <t c="3" fi="0">
        <n x="20"/>
        <n x="3"/>
        <n x="4" s="1"/>
      </t>
    </mdx>
    <mdx n="0" f="v">
      <t c="4" fi="0">
        <n x="21"/>
        <n x="7"/>
        <n x="3"/>
        <n x="4" s="1"/>
      </t>
    </mdx>
    <mdx n="0" f="v">
      <t c="3" fi="0">
        <n x="21"/>
        <n x="5"/>
        <n x="4" s="1"/>
      </t>
    </mdx>
    <mdx n="0" f="m">
      <t c="1">
        <n x="21"/>
      </t>
    </mdx>
    <mdx n="0" f="v">
      <t c="3" fi="0">
        <n x="21"/>
        <n x="3"/>
        <n x="4" s="1"/>
      </t>
    </mdx>
    <mdx n="0" f="v">
      <t c="4" fi="0">
        <n x="22"/>
        <n x="2"/>
        <n x="3"/>
        <n x="4" s="1"/>
      </t>
    </mdx>
    <mdx n="0" f="v">
      <t c="3" fi="0">
        <n x="22"/>
        <n x="5"/>
        <n x="4" s="1"/>
      </t>
    </mdx>
    <mdx n="0" f="m">
      <t c="1">
        <n x="22"/>
      </t>
    </mdx>
    <mdx n="0" f="v">
      <t c="3" fi="0">
        <n x="22"/>
        <n x="3"/>
        <n x="4" s="1"/>
      </t>
    </mdx>
    <mdx n="0" f="v">
      <t c="4" fi="0">
        <n x="23"/>
        <n x="9"/>
        <n x="3"/>
        <n x="4" s="1"/>
      </t>
    </mdx>
    <mdx n="0" f="v">
      <t c="3" fi="0">
        <n x="23"/>
        <n x="5"/>
        <n x="4" s="1"/>
      </t>
    </mdx>
    <mdx n="0" f="m">
      <t c="1">
        <n x="23"/>
      </t>
    </mdx>
    <mdx n="0" f="v">
      <t c="3" fi="0">
        <n x="23"/>
        <n x="3"/>
        <n x="4" s="1"/>
      </t>
    </mdx>
    <mdx n="0" f="v">
      <t c="4" fi="0">
        <n x="24"/>
        <n x="7"/>
        <n x="3"/>
        <n x="4" s="1"/>
      </t>
    </mdx>
    <mdx n="0" f="v">
      <t c="3" fi="0">
        <n x="24"/>
        <n x="5"/>
        <n x="4" s="1"/>
      </t>
    </mdx>
    <mdx n="0" f="m">
      <t c="1">
        <n x="24"/>
      </t>
    </mdx>
    <mdx n="0" f="v">
      <t c="3" fi="0">
        <n x="24"/>
        <n x="3"/>
        <n x="4" s="1"/>
      </t>
    </mdx>
    <mdx n="0" f="v">
      <t c="4" fi="0">
        <n x="25"/>
        <n x="2"/>
        <n x="3"/>
        <n x="4" s="1"/>
      </t>
    </mdx>
    <mdx n="0" f="v">
      <t c="3" fi="0">
        <n x="25"/>
        <n x="5"/>
        <n x="4" s="1"/>
      </t>
    </mdx>
    <mdx n="0" f="m">
      <t c="1">
        <n x="25"/>
      </t>
    </mdx>
    <mdx n="0" f="v">
      <t c="3" fi="0">
        <n x="25"/>
        <n x="3"/>
        <n x="4" s="1"/>
      </t>
    </mdx>
    <mdx n="0" f="v">
      <t c="4" fi="0">
        <n x="26"/>
        <n x="2"/>
        <n x="3"/>
        <n x="4" s="1"/>
      </t>
    </mdx>
    <mdx n="0" f="v">
      <t c="3" fi="0">
        <n x="26"/>
        <n x="5"/>
        <n x="4" s="1"/>
      </t>
    </mdx>
    <mdx n="0" f="m">
      <t c="1">
        <n x="26"/>
      </t>
    </mdx>
    <mdx n="0" f="v">
      <t c="3" fi="0">
        <n x="26"/>
        <n x="3"/>
        <n x="4" s="1"/>
      </t>
    </mdx>
    <mdx n="0" f="v">
      <t c="4" fi="0">
        <n x="27"/>
        <n x="13"/>
        <n x="3"/>
        <n x="4" s="1"/>
      </t>
    </mdx>
    <mdx n="0" f="v">
      <t c="3" fi="0">
        <n x="27"/>
        <n x="5"/>
        <n x="4" s="1"/>
      </t>
    </mdx>
    <mdx n="0" f="m">
      <t c="1">
        <n x="27"/>
      </t>
    </mdx>
    <mdx n="0" f="v">
      <t c="3" fi="0">
        <n x="27"/>
        <n x="3"/>
        <n x="4" s="1"/>
      </t>
    </mdx>
    <mdx n="0" f="v">
      <t c="4" fi="0">
        <n x="28"/>
        <n x="15"/>
        <n x="3"/>
        <n x="4" s="1"/>
      </t>
    </mdx>
    <mdx n="0" f="v">
      <t c="3" fi="0">
        <n x="28"/>
        <n x="5"/>
        <n x="4" s="1"/>
      </t>
    </mdx>
    <mdx n="0" f="m">
      <t c="1">
        <n x="28"/>
      </t>
    </mdx>
    <mdx n="0" f="v">
      <t c="3" fi="0">
        <n x="28"/>
        <n x="3"/>
        <n x="4" s="1"/>
      </t>
    </mdx>
    <mdx n="0" f="v">
      <t c="4" fi="0">
        <n x="29"/>
        <n x="2"/>
        <n x="3"/>
        <n x="4" s="1"/>
      </t>
    </mdx>
    <mdx n="0" f="v">
      <t c="3" fi="0">
        <n x="29"/>
        <n x="5"/>
        <n x="4" s="1"/>
      </t>
    </mdx>
    <mdx n="0" f="m">
      <t c="1">
        <n x="29"/>
      </t>
    </mdx>
    <mdx n="0" f="v">
      <t c="3" fi="0">
        <n x="29"/>
        <n x="3"/>
        <n x="4" s="1"/>
      </t>
    </mdx>
    <mdx n="0" f="v">
      <t c="4" fi="0">
        <n x="30"/>
        <n x="2"/>
        <n x="3"/>
        <n x="4" s="1"/>
      </t>
    </mdx>
    <mdx n="0" f="v">
      <t c="3" fi="0">
        <n x="30"/>
        <n x="5"/>
        <n x="4" s="1"/>
      </t>
    </mdx>
    <mdx n="0" f="m">
      <t c="1">
        <n x="30"/>
      </t>
    </mdx>
    <mdx n="0" f="v">
      <t c="3" fi="0">
        <n x="30"/>
        <n x="3"/>
        <n x="4" s="1"/>
      </t>
    </mdx>
    <mdx n="0" f="v">
      <t c="4" fi="0">
        <n x="31"/>
        <n x="9"/>
        <n x="3"/>
        <n x="4" s="1"/>
      </t>
    </mdx>
    <mdx n="0" f="v">
      <t c="3" fi="0">
        <n x="31"/>
        <n x="5"/>
        <n x="4" s="1"/>
      </t>
    </mdx>
    <mdx n="0" f="m">
      <t c="1">
        <n x="31"/>
      </t>
    </mdx>
    <mdx n="0" f="v">
      <t c="3" fi="0">
        <n x="31"/>
        <n x="3"/>
        <n x="4" s="1"/>
      </t>
    </mdx>
    <mdx n="0" f="v">
      <t c="4" fi="0">
        <n x="32"/>
        <n x="15"/>
        <n x="3"/>
        <n x="4" s="1"/>
      </t>
    </mdx>
    <mdx n="0" f="v">
      <t c="3" fi="0">
        <n x="32"/>
        <n x="5"/>
        <n x="4" s="1"/>
      </t>
    </mdx>
    <mdx n="0" f="m">
      <t c="1">
        <n x="32"/>
      </t>
    </mdx>
    <mdx n="0" f="v">
      <t c="3" fi="0">
        <n x="32"/>
        <n x="3"/>
        <n x="4" s="1"/>
      </t>
    </mdx>
    <mdx n="0" f="v">
      <t c="4" fi="0">
        <n x="33"/>
        <n x="7"/>
        <n x="3"/>
        <n x="4" s="1"/>
      </t>
    </mdx>
    <mdx n="0" f="v">
      <t c="3" fi="0">
        <n x="33"/>
        <n x="5"/>
        <n x="4" s="1"/>
      </t>
    </mdx>
    <mdx n="0" f="m">
      <t c="1">
        <n x="33"/>
      </t>
    </mdx>
    <mdx n="0" f="v">
      <t c="3" fi="0">
        <n x="33"/>
        <n x="3"/>
        <n x="4" s="1"/>
      </t>
    </mdx>
    <mdx n="0" f="v">
      <t c="4" fi="0">
        <n x="34"/>
        <n x="15"/>
        <n x="3"/>
        <n x="4" s="1"/>
      </t>
    </mdx>
    <mdx n="0" f="v">
      <t c="3" fi="0">
        <n x="34"/>
        <n x="5"/>
        <n x="4" s="1"/>
      </t>
    </mdx>
    <mdx n="0" f="m">
      <t c="1">
        <n x="34"/>
      </t>
    </mdx>
    <mdx n="0" f="v">
      <t c="3" fi="0">
        <n x="34"/>
        <n x="3"/>
        <n x="4" s="1"/>
      </t>
    </mdx>
    <mdx n="0" f="v">
      <t c="4" fi="0">
        <n x="35"/>
        <n x="13"/>
        <n x="3"/>
        <n x="4" s="1"/>
      </t>
    </mdx>
    <mdx n="0" f="v">
      <t c="3" fi="0">
        <n x="35"/>
        <n x="5"/>
        <n x="4" s="1"/>
      </t>
    </mdx>
    <mdx n="0" f="m">
      <t c="1">
        <n x="35"/>
      </t>
    </mdx>
    <mdx n="0" f="v">
      <t c="3" fi="0">
        <n x="35"/>
        <n x="3"/>
        <n x="4" s="1"/>
      </t>
    </mdx>
    <mdx n="0" f="v">
      <t c="4" fi="0">
        <n x="36"/>
        <n x="2"/>
        <n x="3"/>
        <n x="4" s="1"/>
      </t>
    </mdx>
    <mdx n="0" f="v">
      <t c="3" fi="0">
        <n x="36"/>
        <n x="5"/>
        <n x="4" s="1"/>
      </t>
    </mdx>
    <mdx n="0" f="m">
      <t c="1">
        <n x="36"/>
      </t>
    </mdx>
    <mdx n="0" f="v">
      <t c="3" fi="0">
        <n x="36"/>
        <n x="3"/>
        <n x="4" s="1"/>
      </t>
    </mdx>
    <mdx n="0" f="m">
      <t c="1">
        <n x="11"/>
      </t>
    </mdx>
    <mdx n="0" f="m">
      <t c="1">
        <n x="13"/>
      </t>
    </mdx>
    <mdx n="0" f="m">
      <t c="1">
        <n x="15"/>
      </t>
    </mdx>
    <mdx n="0" f="m">
      <t c="1">
        <n x="7"/>
      </t>
    </mdx>
    <mdx n="0" f="m">
      <t c="1">
        <n x="2"/>
      </t>
    </mdx>
    <mdx n="0" f="m">
      <t c="1">
        <n x="9"/>
      </t>
    </mdx>
    <mdx n="0" f="m">
      <t c="1">
        <n x="37"/>
      </t>
    </mdx>
    <mdx n="0" f="r">
      <t c="2">
        <n x="38"/>
        <n x="39"/>
      </t>
    </mdx>
    <mdx n="0" f="r">
      <t c="2">
        <n x="38"/>
        <n x="40"/>
      </t>
    </mdx>
    <mdx n="0" f="v">
      <t c="4" fi="0">
        <n x="1"/>
        <n x="2"/>
        <n x="3"/>
        <n x="41" s="1"/>
      </t>
    </mdx>
    <mdx n="0" f="v">
      <t c="3" fi="0">
        <n x="1"/>
        <n x="5"/>
        <n x="41" s="1"/>
      </t>
    </mdx>
    <mdx n="0" f="v">
      <t c="3" fi="0">
        <n x="1"/>
        <n x="3"/>
        <n x="41" s="1"/>
      </t>
    </mdx>
    <mdx n="0" f="v">
      <t c="4" fi="0">
        <n x="6"/>
        <n x="37"/>
        <n x="3"/>
        <n x="41" s="1"/>
      </t>
    </mdx>
    <mdx n="0" f="v">
      <t c="3" fi="0">
        <n x="6"/>
        <n x="5"/>
        <n x="41" s="1"/>
      </t>
    </mdx>
    <mdx n="0" f="v">
      <t c="3" fi="0">
        <n x="6"/>
        <n x="3"/>
        <n x="41" s="1"/>
      </t>
    </mdx>
    <mdx n="0" f="v">
      <t c="4" fi="0">
        <n x="8"/>
        <n x="2"/>
        <n x="3"/>
        <n x="41" s="1"/>
      </t>
    </mdx>
    <mdx n="0" f="v">
      <t c="3" fi="0">
        <n x="8"/>
        <n x="5"/>
        <n x="41" s="1"/>
      </t>
    </mdx>
    <mdx n="0" f="v">
      <t c="3" fi="0">
        <n x="8"/>
        <n x="3"/>
        <n x="41" s="1"/>
      </t>
    </mdx>
    <mdx n="0" f="v">
      <t c="4" fi="0">
        <n x="10"/>
        <n x="15"/>
        <n x="3"/>
        <n x="41" s="1"/>
      </t>
    </mdx>
    <mdx n="0" f="v">
      <t c="3" fi="0">
        <n x="10"/>
        <n x="5"/>
        <n x="41" s="1"/>
      </t>
    </mdx>
    <mdx n="0" f="v">
      <t c="3" fi="0">
        <n x="10"/>
        <n x="3"/>
        <n x="41" s="1"/>
      </t>
    </mdx>
    <mdx n="0" f="v">
      <t c="4" fi="0">
        <n x="12"/>
        <n x="7"/>
        <n x="3"/>
        <n x="41" s="1"/>
      </t>
    </mdx>
    <mdx n="0" f="v">
      <t c="3" fi="0">
        <n x="12"/>
        <n x="5"/>
        <n x="41" s="1"/>
      </t>
    </mdx>
    <mdx n="0" f="v">
      <t c="3" fi="0">
        <n x="12"/>
        <n x="3"/>
        <n x="41" s="1"/>
      </t>
    </mdx>
    <mdx n="0" f="v">
      <t c="4" fi="0">
        <n x="14"/>
        <n x="9"/>
        <n x="3"/>
        <n x="41" s="1"/>
      </t>
    </mdx>
    <mdx n="0" f="v">
      <t c="3" fi="0">
        <n x="14"/>
        <n x="5"/>
        <n x="41" s="1"/>
      </t>
    </mdx>
    <mdx n="0" f="v">
      <t c="3" fi="0">
        <n x="14"/>
        <n x="3"/>
        <n x="41" s="1"/>
      </t>
    </mdx>
    <mdx n="0" f="v">
      <t c="4" fi="0">
        <n x="16"/>
        <n x="2"/>
        <n x="3"/>
        <n x="41" s="1"/>
      </t>
    </mdx>
    <mdx n="0" f="v">
      <t c="3" fi="0">
        <n x="16"/>
        <n x="5"/>
        <n x="41" s="1"/>
      </t>
    </mdx>
    <mdx n="0" f="v">
      <t c="3" fi="0">
        <n x="16"/>
        <n x="3"/>
        <n x="41" s="1"/>
      </t>
    </mdx>
    <mdx n="0" f="v">
      <t c="4" fi="0">
        <n x="17"/>
        <n x="7"/>
        <n x="3"/>
        <n x="41" s="1"/>
      </t>
    </mdx>
    <mdx n="0" f="v">
      <t c="3" fi="0">
        <n x="17"/>
        <n x="5"/>
        <n x="41" s="1"/>
      </t>
    </mdx>
    <mdx n="0" f="v">
      <t c="3" fi="0">
        <n x="17"/>
        <n x="3"/>
        <n x="41" s="1"/>
      </t>
    </mdx>
    <mdx n="0" f="v">
      <t c="4" fi="0">
        <n x="18"/>
        <n x="13"/>
        <n x="3"/>
        <n x="41" s="1"/>
      </t>
    </mdx>
    <mdx n="0" f="v">
      <t c="3" fi="0">
        <n x="18"/>
        <n x="5"/>
        <n x="41" s="1"/>
      </t>
    </mdx>
    <mdx n="0" f="v">
      <t c="3" fi="0">
        <n x="18"/>
        <n x="3"/>
        <n x="41" s="1"/>
      </t>
    </mdx>
    <mdx n="0" f="v">
      <t c="4" fi="0">
        <n x="19"/>
        <n x="2"/>
        <n x="3"/>
        <n x="41" s="1"/>
      </t>
    </mdx>
    <mdx n="0" f="v">
      <t c="3" fi="0">
        <n x="19"/>
        <n x="5"/>
        <n x="41" s="1"/>
      </t>
    </mdx>
    <mdx n="0" f="v">
      <t c="3" fi="0">
        <n x="19"/>
        <n x="3"/>
        <n x="41" s="1"/>
      </t>
    </mdx>
    <mdx n="0" f="v">
      <t c="4" fi="0">
        <n x="20"/>
        <n x="37"/>
        <n x="3"/>
        <n x="41" s="1"/>
      </t>
    </mdx>
    <mdx n="0" f="v">
      <t c="3" fi="0">
        <n x="20"/>
        <n x="5"/>
        <n x="41" s="1"/>
      </t>
    </mdx>
    <mdx n="0" f="v">
      <t c="3" fi="0">
        <n x="20"/>
        <n x="3"/>
        <n x="41" s="1"/>
      </t>
    </mdx>
    <mdx n="0" f="v">
      <t c="4" fi="0">
        <n x="21"/>
        <n x="11"/>
        <n x="3"/>
        <n x="41" s="1"/>
      </t>
    </mdx>
    <mdx n="0" f="v">
      <t c="3" fi="0">
        <n x="21"/>
        <n x="5"/>
        <n x="41" s="1"/>
      </t>
    </mdx>
    <mdx n="0" f="v">
      <t c="3" fi="0">
        <n x="21"/>
        <n x="3"/>
        <n x="41" s="1"/>
      </t>
    </mdx>
    <mdx n="0" f="v">
      <t c="4" fi="0">
        <n x="22"/>
        <n x="9"/>
        <n x="3"/>
        <n x="41" s="1"/>
      </t>
    </mdx>
    <mdx n="0" f="v">
      <t c="3" fi="0">
        <n x="22"/>
        <n x="5"/>
        <n x="41" s="1"/>
      </t>
    </mdx>
    <mdx n="0" f="v">
      <t c="3" fi="0">
        <n x="22"/>
        <n x="3"/>
        <n x="41" s="1"/>
      </t>
    </mdx>
    <mdx n="0" f="v">
      <t c="4" fi="0">
        <n x="23"/>
        <n x="15"/>
        <n x="3"/>
        <n x="41" s="1"/>
      </t>
    </mdx>
    <mdx n="0" f="v">
      <t c="3" fi="0">
        <n x="23"/>
        <n x="5"/>
        <n x="41" s="1"/>
      </t>
    </mdx>
    <mdx n="0" f="v">
      <t c="3" fi="0">
        <n x="23"/>
        <n x="3"/>
        <n x="41" s="1"/>
      </t>
    </mdx>
    <mdx n="0" f="v">
      <t c="4" fi="0">
        <n x="24"/>
        <n x="9"/>
        <n x="3"/>
        <n x="41" s="1"/>
      </t>
    </mdx>
    <mdx n="0" f="v">
      <t c="3" fi="0">
        <n x="24"/>
        <n x="5"/>
        <n x="41" s="1"/>
      </t>
    </mdx>
    <mdx n="0" f="v">
      <t c="3" fi="0">
        <n x="24"/>
        <n x="3"/>
        <n x="41" s="1"/>
      </t>
    </mdx>
    <mdx n="0" f="v">
      <t c="4" fi="0">
        <n x="25"/>
        <n x="13"/>
        <n x="3"/>
        <n x="41" s="1"/>
      </t>
    </mdx>
    <mdx n="0" f="v">
      <t c="3" fi="0">
        <n x="25"/>
        <n x="5"/>
        <n x="41" s="1"/>
      </t>
    </mdx>
    <mdx n="0" f="v">
      <t c="3" fi="0">
        <n x="25"/>
        <n x="3"/>
        <n x="41" s="1"/>
      </t>
    </mdx>
    <mdx n="0" f="v">
      <t c="4" fi="0">
        <n x="26"/>
        <n x="7"/>
        <n x="3"/>
        <n x="41" s="1"/>
      </t>
    </mdx>
    <mdx n="0" f="v">
      <t c="3" fi="0">
        <n x="26"/>
        <n x="5"/>
        <n x="41" s="1"/>
      </t>
    </mdx>
    <mdx n="0" f="v">
      <t c="3" fi="0">
        <n x="26"/>
        <n x="3"/>
        <n x="41" s="1"/>
      </t>
    </mdx>
    <mdx n="0" f="v">
      <t c="4" fi="0">
        <n x="27"/>
        <n x="15"/>
        <n x="3"/>
        <n x="41" s="1"/>
      </t>
    </mdx>
    <mdx n="0" f="v">
      <t c="3" fi="0">
        <n x="27"/>
        <n x="5"/>
        <n x="41" s="1"/>
      </t>
    </mdx>
    <mdx n="0" f="v">
      <t c="3" fi="0">
        <n x="27"/>
        <n x="3"/>
        <n x="41" s="1"/>
      </t>
    </mdx>
    <mdx n="0" f="v">
      <t c="4" fi="0">
        <n x="28"/>
        <n x="9"/>
        <n x="3"/>
        <n x="41" s="1"/>
      </t>
    </mdx>
    <mdx n="0" f="v">
      <t c="3" fi="0">
        <n x="28"/>
        <n x="5"/>
        <n x="41" s="1"/>
      </t>
    </mdx>
    <mdx n="0" f="v">
      <t c="3" fi="0">
        <n x="28"/>
        <n x="3"/>
        <n x="41" s="1"/>
      </t>
    </mdx>
    <mdx n="0" f="v">
      <t c="4" fi="0">
        <n x="29"/>
        <n x="2"/>
        <n x="3"/>
        <n x="41" s="1"/>
      </t>
    </mdx>
    <mdx n="0" f="v">
      <t c="3" fi="0">
        <n x="29"/>
        <n x="5"/>
        <n x="41" s="1"/>
      </t>
    </mdx>
    <mdx n="0" f="v">
      <t c="3" fi="0">
        <n x="29"/>
        <n x="3"/>
        <n x="41" s="1"/>
      </t>
    </mdx>
    <mdx n="0" f="v">
      <t c="4" fi="0">
        <n x="30"/>
        <n x="7"/>
        <n x="3"/>
        <n x="41" s="1"/>
      </t>
    </mdx>
    <mdx n="0" f="v">
      <t c="3" fi="0">
        <n x="30"/>
        <n x="5"/>
        <n x="41" s="1"/>
      </t>
    </mdx>
    <mdx n="0" f="v">
      <t c="3" fi="0">
        <n x="30"/>
        <n x="3"/>
        <n x="41" s="1"/>
      </t>
    </mdx>
    <mdx n="0" f="v">
      <t c="4" fi="0">
        <n x="31"/>
        <n x="15"/>
        <n x="3"/>
        <n x="41" s="1"/>
      </t>
    </mdx>
    <mdx n="0" f="v">
      <t c="3" fi="0">
        <n x="31"/>
        <n x="5"/>
        <n x="41" s="1"/>
      </t>
    </mdx>
    <mdx n="0" f="v">
      <t c="3" fi="0">
        <n x="31"/>
        <n x="3"/>
        <n x="41" s="1"/>
      </t>
    </mdx>
    <mdx n="0" f="v">
      <t c="4" fi="0">
        <n x="32"/>
        <n x="2"/>
        <n x="3"/>
        <n x="41" s="1"/>
      </t>
    </mdx>
    <mdx n="0" f="v">
      <t c="3" fi="0">
        <n x="32"/>
        <n x="5"/>
        <n x="41" s="1"/>
      </t>
    </mdx>
    <mdx n="0" f="v">
      <t c="3" fi="0">
        <n x="32"/>
        <n x="3"/>
        <n x="41" s="1"/>
      </t>
    </mdx>
    <mdx n="0" f="v">
      <t c="4" fi="0">
        <n x="33"/>
        <n x="7"/>
        <n x="3"/>
        <n x="41" s="1"/>
      </t>
    </mdx>
    <mdx n="0" f="v">
      <t c="3" fi="0">
        <n x="33"/>
        <n x="5"/>
        <n x="41" s="1"/>
      </t>
    </mdx>
    <mdx n="0" f="v">
      <t c="3" fi="0">
        <n x="33"/>
        <n x="3"/>
        <n x="41" s="1"/>
      </t>
    </mdx>
    <mdx n="0" f="v">
      <t c="4" fi="0">
        <n x="34"/>
        <n x="2"/>
        <n x="3"/>
        <n x="41" s="1"/>
      </t>
    </mdx>
    <mdx n="0" f="v">
      <t c="3" fi="0">
        <n x="34"/>
        <n x="5"/>
        <n x="41" s="1"/>
      </t>
    </mdx>
    <mdx n="0" f="v">
      <t c="3" fi="0">
        <n x="34"/>
        <n x="3"/>
        <n x="41" s="1"/>
      </t>
    </mdx>
    <mdx n="0" f="v">
      <t c="4" fi="0">
        <n x="35"/>
        <n x="2"/>
        <n x="3"/>
        <n x="41" s="1"/>
      </t>
    </mdx>
    <mdx n="0" f="v">
      <t c="3" fi="0">
        <n x="35"/>
        <n x="5"/>
        <n x="41" s="1"/>
      </t>
    </mdx>
    <mdx n="0" f="v">
      <t c="3" fi="0">
        <n x="35"/>
        <n x="3"/>
        <n x="41" s="1"/>
      </t>
    </mdx>
    <mdx n="0" f="v">
      <t c="4" fi="0">
        <n x="36"/>
        <n x="13"/>
        <n x="3"/>
        <n x="41" s="1"/>
      </t>
    </mdx>
    <mdx n="0" f="v">
      <t c="3" fi="0">
        <n x="36"/>
        <n x="5"/>
        <n x="41" s="1"/>
      </t>
    </mdx>
    <mdx n="0" f="v">
      <t c="3" fi="0">
        <n x="36"/>
        <n x="3"/>
        <n x="41" s="1"/>
      </t>
    </mdx>
    <mdx n="0" f="r">
      <t c="2">
        <n x="42"/>
        <n x="43"/>
      </t>
    </mdx>
    <mdx n="0" f="r">
      <t c="2">
        <n x="42"/>
        <n x="44"/>
      </t>
    </mdx>
    <mdx n="0" f="v">
      <t c="4" fi="0">
        <n x="1"/>
        <n x="7"/>
        <n x="3"/>
        <n x="45" s="1"/>
      </t>
    </mdx>
    <mdx n="0" f="v">
      <t c="3" fi="0">
        <n x="1"/>
        <n x="5"/>
        <n x="45" s="1"/>
      </t>
    </mdx>
    <mdx n="0" f="v">
      <t c="3" fi="0">
        <n x="1"/>
        <n x="3"/>
        <n x="45" s="1"/>
      </t>
    </mdx>
    <mdx n="0" f="v">
      <t c="4" fi="0">
        <n x="6"/>
        <n x="7"/>
        <n x="3"/>
        <n x="45" s="1"/>
      </t>
    </mdx>
    <mdx n="0" f="v">
      <t c="3" fi="0">
        <n x="6"/>
        <n x="5"/>
        <n x="45" s="1"/>
      </t>
    </mdx>
    <mdx n="0" f="v">
      <t c="3" fi="0">
        <n x="6"/>
        <n x="3"/>
        <n x="45" s="1"/>
      </t>
    </mdx>
    <mdx n="0" f="v">
      <t c="4" fi="0">
        <n x="8"/>
        <n x="2"/>
        <n x="3"/>
        <n x="45" s="1"/>
      </t>
    </mdx>
    <mdx n="0" f="v">
      <t c="3" fi="0">
        <n x="8"/>
        <n x="5"/>
        <n x="45" s="1"/>
      </t>
    </mdx>
    <mdx n="0" f="v">
      <t c="3" fi="0">
        <n x="8"/>
        <n x="3"/>
        <n x="45" s="1"/>
      </t>
    </mdx>
    <mdx n="0" f="v">
      <t c="4" fi="0">
        <n x="10"/>
        <n x="15"/>
        <n x="3"/>
        <n x="45" s="1"/>
      </t>
    </mdx>
    <mdx n="0" f="v">
      <t c="3" fi="0">
        <n x="10"/>
        <n x="5"/>
        <n x="45" s="1"/>
      </t>
    </mdx>
    <mdx n="0" f="v">
      <t c="3" fi="0">
        <n x="10"/>
        <n x="3"/>
        <n x="45" s="1"/>
      </t>
    </mdx>
    <mdx n="0" f="v">
      <t c="4" fi="0">
        <n x="12"/>
        <n x="13"/>
        <n x="3"/>
        <n x="45" s="1"/>
      </t>
    </mdx>
    <mdx n="0" f="v">
      <t c="3" fi="0">
        <n x="12"/>
        <n x="5"/>
        <n x="45" s="1"/>
      </t>
    </mdx>
    <mdx n="0" f="v">
      <t c="3" fi="0">
        <n x="12"/>
        <n x="3"/>
        <n x="45" s="1"/>
      </t>
    </mdx>
    <mdx n="0" f="v">
      <t c="4" fi="0">
        <n x="14"/>
        <n x="15"/>
        <n x="3"/>
        <n x="45" s="1"/>
      </t>
    </mdx>
    <mdx n="0" f="v">
      <t c="3" fi="0">
        <n x="14"/>
        <n x="5"/>
        <n x="45" s="1"/>
      </t>
    </mdx>
    <mdx n="0" f="v">
      <t c="3" fi="0">
        <n x="14"/>
        <n x="3"/>
        <n x="45" s="1"/>
      </t>
    </mdx>
    <mdx n="0" f="v">
      <t c="4" fi="0">
        <n x="16"/>
        <n x="9"/>
        <n x="3"/>
        <n x="45" s="1"/>
      </t>
    </mdx>
    <mdx n="0" f="v">
      <t c="3" fi="0">
        <n x="16"/>
        <n x="5"/>
        <n x="45" s="1"/>
      </t>
    </mdx>
    <mdx n="0" f="v">
      <t c="3" fi="0">
        <n x="16"/>
        <n x="3"/>
        <n x="45" s="1"/>
      </t>
    </mdx>
    <mdx n="0" f="v">
      <t c="4" fi="0">
        <n x="17"/>
        <n x="13"/>
        <n x="3"/>
        <n x="45" s="1"/>
      </t>
    </mdx>
    <mdx n="0" f="v">
      <t c="3" fi="0">
        <n x="17"/>
        <n x="5"/>
        <n x="45" s="1"/>
      </t>
    </mdx>
    <mdx n="0" f="v">
      <t c="3" fi="0">
        <n x="17"/>
        <n x="3"/>
        <n x="45" s="1"/>
      </t>
    </mdx>
    <mdx n="0" f="v">
      <t c="4" fi="0">
        <n x="18"/>
        <n x="7"/>
        <n x="3"/>
        <n x="45" s="1"/>
      </t>
    </mdx>
    <mdx n="0" f="v">
      <t c="3" fi="0">
        <n x="18"/>
        <n x="5"/>
        <n x="45" s="1"/>
      </t>
    </mdx>
    <mdx n="0" f="v">
      <t c="3" fi="0">
        <n x="18"/>
        <n x="3"/>
        <n x="45" s="1"/>
      </t>
    </mdx>
    <mdx n="0" f="v">
      <t c="4" fi="0">
        <n x="19"/>
        <n x="7"/>
        <n x="3"/>
        <n x="45" s="1"/>
      </t>
    </mdx>
    <mdx n="0" f="v">
      <t c="3" fi="0">
        <n x="19"/>
        <n x="5"/>
        <n x="45" s="1"/>
      </t>
    </mdx>
    <mdx n="0" f="v">
      <t c="3" fi="0">
        <n x="19"/>
        <n x="3"/>
        <n x="45" s="1"/>
      </t>
    </mdx>
    <mdx n="0" f="v">
      <t c="4" fi="0">
        <n x="20"/>
        <n x="13"/>
        <n x="3"/>
        <n x="45" s="1"/>
      </t>
    </mdx>
    <mdx n="0" f="v">
      <t c="3" fi="0">
        <n x="20"/>
        <n x="5"/>
        <n x="45" s="1"/>
      </t>
    </mdx>
    <mdx n="0" f="v">
      <t c="3" fi="0">
        <n x="20"/>
        <n x="3"/>
        <n x="45" s="1"/>
      </t>
    </mdx>
    <mdx n="0" f="v">
      <t c="4" fi="0">
        <n x="21"/>
        <n x="7"/>
        <n x="3"/>
        <n x="45" s="1"/>
      </t>
    </mdx>
    <mdx n="0" f="v">
      <t c="3" fi="0">
        <n x="21"/>
        <n x="5"/>
        <n x="45" s="1"/>
      </t>
    </mdx>
    <mdx n="0" f="v">
      <t c="3" fi="0">
        <n x="21"/>
        <n x="3"/>
        <n x="45" s="1"/>
      </t>
    </mdx>
    <mdx n="0" f="v">
      <t c="4" fi="0">
        <n x="22"/>
        <n x="9"/>
        <n x="3"/>
        <n x="45" s="1"/>
      </t>
    </mdx>
    <mdx n="0" f="v">
      <t c="3" fi="0">
        <n x="22"/>
        <n x="5"/>
        <n x="45" s="1"/>
      </t>
    </mdx>
    <mdx n="0" f="v">
      <t c="3" fi="0">
        <n x="22"/>
        <n x="3"/>
        <n x="45" s="1"/>
      </t>
    </mdx>
    <mdx n="0" f="v">
      <t c="4" fi="0">
        <n x="23"/>
        <n x="2"/>
        <n x="3"/>
        <n x="45" s="1"/>
      </t>
    </mdx>
    <mdx n="0" f="v">
      <t c="3" fi="0">
        <n x="23"/>
        <n x="5"/>
        <n x="45" s="1"/>
      </t>
    </mdx>
    <mdx n="0" f="v">
      <t c="3" fi="0">
        <n x="23"/>
        <n x="3"/>
        <n x="45" s="1"/>
      </t>
    </mdx>
    <mdx n="0" f="v">
      <t c="4" fi="0">
        <n x="24"/>
        <n x="7"/>
        <n x="3"/>
        <n x="45" s="1"/>
      </t>
    </mdx>
    <mdx n="0" f="v">
      <t c="3" fi="0">
        <n x="24"/>
        <n x="5"/>
        <n x="45" s="1"/>
      </t>
    </mdx>
    <mdx n="0" f="v">
      <t c="3" fi="0">
        <n x="24"/>
        <n x="3"/>
        <n x="45" s="1"/>
      </t>
    </mdx>
    <mdx n="0" f="v">
      <t c="4" fi="0">
        <n x="25"/>
        <n x="13"/>
        <n x="3"/>
        <n x="45" s="1"/>
      </t>
    </mdx>
    <mdx n="0" f="v">
      <t c="3" fi="0">
        <n x="25"/>
        <n x="5"/>
        <n x="45" s="1"/>
      </t>
    </mdx>
    <mdx n="0" f="v">
      <t c="3" fi="0">
        <n x="25"/>
        <n x="3"/>
        <n x="45" s="1"/>
      </t>
    </mdx>
    <mdx n="0" f="v">
      <t c="4" fi="0">
        <n x="26"/>
        <n x="9"/>
        <n x="3"/>
        <n x="45" s="1"/>
      </t>
    </mdx>
    <mdx n="0" f="v">
      <t c="3" fi="0">
        <n x="26"/>
        <n x="5"/>
        <n x="45" s="1"/>
      </t>
    </mdx>
    <mdx n="0" f="v">
      <t c="3" fi="0">
        <n x="26"/>
        <n x="3"/>
        <n x="45" s="1"/>
      </t>
    </mdx>
    <mdx n="0" f="v">
      <t c="4" fi="0">
        <n x="27"/>
        <n x="2"/>
        <n x="3"/>
        <n x="45" s="1"/>
      </t>
    </mdx>
    <mdx n="0" f="v">
      <t c="3" fi="0">
        <n x="27"/>
        <n x="5"/>
        <n x="45" s="1"/>
      </t>
    </mdx>
    <mdx n="0" f="v">
      <t c="3" fi="0">
        <n x="27"/>
        <n x="3"/>
        <n x="45" s="1"/>
      </t>
    </mdx>
    <mdx n="0" f="v">
      <t c="4" fi="0">
        <n x="28"/>
        <n x="13"/>
        <n x="3"/>
        <n x="45" s="1"/>
      </t>
    </mdx>
    <mdx n="0" f="v">
      <t c="3" fi="0">
        <n x="28"/>
        <n x="5"/>
        <n x="45" s="1"/>
      </t>
    </mdx>
    <mdx n="0" f="v">
      <t c="3" fi="0">
        <n x="28"/>
        <n x="3"/>
        <n x="45" s="1"/>
      </t>
    </mdx>
    <mdx n="0" f="v">
      <t c="4" fi="0">
        <n x="29"/>
        <n x="2"/>
        <n x="3"/>
        <n x="45" s="1"/>
      </t>
    </mdx>
    <mdx n="0" f="v">
      <t c="3" fi="0">
        <n x="29"/>
        <n x="5"/>
        <n x="45" s="1"/>
      </t>
    </mdx>
    <mdx n="0" f="v">
      <t c="3" fi="0">
        <n x="29"/>
        <n x="3"/>
        <n x="45" s="1"/>
      </t>
    </mdx>
    <mdx n="0" f="v">
      <t c="4" fi="0">
        <n x="30"/>
        <n x="2"/>
        <n x="3"/>
        <n x="45" s="1"/>
      </t>
    </mdx>
    <mdx n="0" f="v">
      <t c="3" fi="0">
        <n x="30"/>
        <n x="5"/>
        <n x="45" s="1"/>
      </t>
    </mdx>
    <mdx n="0" f="v">
      <t c="3" fi="0">
        <n x="30"/>
        <n x="3"/>
        <n x="45" s="1"/>
      </t>
    </mdx>
    <mdx n="0" f="v">
      <t c="4" fi="0">
        <n x="31"/>
        <n x="13"/>
        <n x="3"/>
        <n x="45" s="1"/>
      </t>
    </mdx>
    <mdx n="0" f="v">
      <t c="3" fi="0">
        <n x="31"/>
        <n x="5"/>
        <n x="45" s="1"/>
      </t>
    </mdx>
    <mdx n="0" f="v">
      <t c="3" fi="0">
        <n x="31"/>
        <n x="3"/>
        <n x="45" s="1"/>
      </t>
    </mdx>
    <mdx n="0" f="v">
      <t c="4" fi="0">
        <n x="32"/>
        <n x="2"/>
        <n x="3"/>
        <n x="45" s="1"/>
      </t>
    </mdx>
    <mdx n="0" f="v">
      <t c="3" fi="0">
        <n x="32"/>
        <n x="5"/>
        <n x="45" s="1"/>
      </t>
    </mdx>
    <mdx n="0" f="v">
      <t c="3" fi="0">
        <n x="32"/>
        <n x="3"/>
        <n x="45" s="1"/>
      </t>
    </mdx>
    <mdx n="0" f="v">
      <t c="4" fi="0">
        <n x="33"/>
        <n x="7"/>
        <n x="3"/>
        <n x="45" s="1"/>
      </t>
    </mdx>
    <mdx n="0" f="v">
      <t c="3" fi="0">
        <n x="33"/>
        <n x="5"/>
        <n x="45" s="1"/>
      </t>
    </mdx>
    <mdx n="0" f="v">
      <t c="3" fi="0">
        <n x="33"/>
        <n x="3"/>
        <n x="45" s="1"/>
      </t>
    </mdx>
    <mdx n="0" f="v">
      <t c="4" fi="0">
        <n x="34"/>
        <n x="15"/>
        <n x="3"/>
        <n x="45" s="1"/>
      </t>
    </mdx>
    <mdx n="0" f="v">
      <t c="3" fi="0">
        <n x="34"/>
        <n x="5"/>
        <n x="45" s="1"/>
      </t>
    </mdx>
    <mdx n="0" f="v">
      <t c="3" fi="0">
        <n x="34"/>
        <n x="3"/>
        <n x="45" s="1"/>
      </t>
    </mdx>
    <mdx n="0" f="v">
      <t c="4" fi="0">
        <n x="35"/>
        <n x="2"/>
        <n x="3"/>
        <n x="45" s="1"/>
      </t>
    </mdx>
    <mdx n="0" f="v">
      <t c="3" fi="0">
        <n x="35"/>
        <n x="5"/>
        <n x="45" s="1"/>
      </t>
    </mdx>
    <mdx n="0" f="v">
      <t c="3" fi="0">
        <n x="35"/>
        <n x="3"/>
        <n x="45" s="1"/>
      </t>
    </mdx>
    <mdx n="0" f="v">
      <t c="4" fi="0">
        <n x="36"/>
        <n x="2"/>
        <n x="3"/>
        <n x="45" s="1"/>
      </t>
    </mdx>
    <mdx n="0" f="v">
      <t c="3" fi="0">
        <n x="36"/>
        <n x="5"/>
        <n x="45" s="1"/>
      </t>
    </mdx>
    <mdx n="0" f="v">
      <t c="3" fi="0">
        <n x="36"/>
        <n x="3"/>
        <n x="45" s="1"/>
      </t>
    </mdx>
    <mdx n="0" f="r">
      <t c="2">
        <n x="46"/>
        <n x="43"/>
      </t>
    </mdx>
    <mdx n="0" f="r">
      <t c="2">
        <n x="46"/>
        <n x="47"/>
      </t>
    </mdx>
    <mdx n="0" f="v">
      <t c="4" fi="0">
        <n x="1"/>
        <n x="13"/>
        <n x="3"/>
        <n x="48" s="1"/>
      </t>
    </mdx>
    <mdx n="0" f="v">
      <t c="3" fi="0">
        <n x="1"/>
        <n x="5"/>
        <n x="48" s="1"/>
      </t>
    </mdx>
    <mdx n="0" f="v">
      <t c="3" fi="0">
        <n x="1"/>
        <n x="3"/>
        <n x="48" s="1"/>
      </t>
    </mdx>
    <mdx n="0" f="v">
      <t c="4" fi="0">
        <n x="6"/>
        <n x="2"/>
        <n x="3"/>
        <n x="48" s="1"/>
      </t>
    </mdx>
    <mdx n="0" f="v">
      <t c="3" fi="0">
        <n x="6"/>
        <n x="5"/>
        <n x="48" s="1"/>
      </t>
    </mdx>
    <mdx n="0" f="v">
      <t c="3" fi="0">
        <n x="6"/>
        <n x="3"/>
        <n x="48" s="1"/>
      </t>
    </mdx>
    <mdx n="0" f="v">
      <t c="4" fi="0">
        <n x="8"/>
        <n x="9"/>
        <n x="3"/>
        <n x="48" s="1"/>
      </t>
    </mdx>
    <mdx n="0" f="v">
      <t c="3" fi="0">
        <n x="8"/>
        <n x="5"/>
        <n x="48" s="1"/>
      </t>
    </mdx>
    <mdx n="0" f="v">
      <t c="3" fi="0">
        <n x="8"/>
        <n x="3"/>
        <n x="48" s="1"/>
      </t>
    </mdx>
    <mdx n="0" f="v">
      <t c="4" fi="0">
        <n x="10"/>
        <n x="15"/>
        <n x="3"/>
        <n x="48" s="1"/>
      </t>
    </mdx>
    <mdx n="0" f="v">
      <t c="3" fi="0">
        <n x="10"/>
        <n x="5"/>
        <n x="48" s="1"/>
      </t>
    </mdx>
    <mdx n="0" f="v">
      <t c="3" fi="0">
        <n x="10"/>
        <n x="3"/>
        <n x="48" s="1"/>
      </t>
    </mdx>
    <mdx n="0" f="v">
      <t c="4" fi="0">
        <n x="12"/>
        <n x="2"/>
        <n x="3"/>
        <n x="48" s="1"/>
      </t>
    </mdx>
    <mdx n="0" f="v">
      <t c="3" fi="0">
        <n x="12"/>
        <n x="5"/>
        <n x="48" s="1"/>
      </t>
    </mdx>
    <mdx n="0" f="v">
      <t c="3" fi="0">
        <n x="12"/>
        <n x="3"/>
        <n x="48" s="1"/>
      </t>
    </mdx>
    <mdx n="0" f="v">
      <t c="4" fi="0">
        <n x="14"/>
        <n x="2"/>
        <n x="3"/>
        <n x="48" s="1"/>
      </t>
    </mdx>
    <mdx n="0" f="v">
      <t c="3" fi="0">
        <n x="14"/>
        <n x="5"/>
        <n x="48" s="1"/>
      </t>
    </mdx>
    <mdx n="0" f="v">
      <t c="3" fi="0">
        <n x="14"/>
        <n x="3"/>
        <n x="48" s="1"/>
      </t>
    </mdx>
    <mdx n="0" f="v">
      <t c="4" fi="0">
        <n x="16"/>
        <n x="9"/>
        <n x="3"/>
        <n x="48" s="1"/>
      </t>
    </mdx>
    <mdx n="0" f="v">
      <t c="3" fi="0">
        <n x="16"/>
        <n x="5"/>
        <n x="48" s="1"/>
      </t>
    </mdx>
    <mdx n="0" f="v">
      <t c="3" fi="0">
        <n x="16"/>
        <n x="3"/>
        <n x="48" s="1"/>
      </t>
    </mdx>
    <mdx n="0" f="v">
      <t c="4" fi="0">
        <n x="17"/>
        <n x="2"/>
        <n x="3"/>
        <n x="48" s="1"/>
      </t>
    </mdx>
    <mdx n="0" f="v">
      <t c="3" fi="0">
        <n x="17"/>
        <n x="5"/>
        <n x="48" s="1"/>
      </t>
    </mdx>
    <mdx n="0" f="v">
      <t c="3" fi="0">
        <n x="17"/>
        <n x="3"/>
        <n x="48" s="1"/>
      </t>
    </mdx>
    <mdx n="0" f="v">
      <t c="4" fi="0">
        <n x="18"/>
        <n x="13"/>
        <n x="3"/>
        <n x="48" s="1"/>
      </t>
    </mdx>
    <mdx n="0" f="v">
      <t c="3" fi="0">
        <n x="18"/>
        <n x="5"/>
        <n x="48" s="1"/>
      </t>
    </mdx>
    <mdx n="0" f="v">
      <t c="3" fi="0">
        <n x="18"/>
        <n x="3"/>
        <n x="48" s="1"/>
      </t>
    </mdx>
    <mdx n="0" f="v">
      <t c="4" fi="0">
        <n x="19"/>
        <n x="37"/>
        <n x="3"/>
        <n x="48" s="1"/>
      </t>
    </mdx>
    <mdx n="0" f="v">
      <t c="3" fi="0">
        <n x="19"/>
        <n x="5"/>
        <n x="48" s="1"/>
      </t>
    </mdx>
    <mdx n="0" f="v">
      <t c="3" fi="0">
        <n x="19"/>
        <n x="3"/>
        <n x="48" s="1"/>
      </t>
    </mdx>
    <mdx n="0" f="v">
      <t c="4" fi="0">
        <n x="20"/>
        <n x="7"/>
        <n x="3"/>
        <n x="48" s="1"/>
      </t>
    </mdx>
    <mdx n="0" f="v">
      <t c="3" fi="0">
        <n x="20"/>
        <n x="5"/>
        <n x="48" s="1"/>
      </t>
    </mdx>
    <mdx n="0" f="v">
      <t c="3" fi="0">
        <n x="20"/>
        <n x="3"/>
        <n x="48" s="1"/>
      </t>
    </mdx>
    <mdx n="0" f="v">
      <t c="4" fi="0">
        <n x="21"/>
        <n x="11"/>
        <n x="3"/>
        <n x="48" s="1"/>
      </t>
    </mdx>
    <mdx n="0" f="v">
      <t c="3" fi="0">
        <n x="21"/>
        <n x="5"/>
        <n x="48" s="1"/>
      </t>
    </mdx>
    <mdx n="0" f="v">
      <t c="3" fi="0">
        <n x="21"/>
        <n x="3"/>
        <n x="48" s="1"/>
      </t>
    </mdx>
    <mdx n="0" f="v">
      <t c="4" fi="0">
        <n x="22"/>
        <n x="2"/>
        <n x="3"/>
        <n x="48" s="1"/>
      </t>
    </mdx>
    <mdx n="0" f="v">
      <t c="3" fi="0">
        <n x="22"/>
        <n x="5"/>
        <n x="48" s="1"/>
      </t>
    </mdx>
    <mdx n="0" f="v">
      <t c="3" fi="0">
        <n x="22"/>
        <n x="3"/>
        <n x="48" s="1"/>
      </t>
    </mdx>
    <mdx n="0" f="v">
      <t c="4" fi="0">
        <n x="23"/>
        <n x="13"/>
        <n x="3"/>
        <n x="48" s="1"/>
      </t>
    </mdx>
    <mdx n="0" f="v">
      <t c="3" fi="0">
        <n x="23"/>
        <n x="5"/>
        <n x="48" s="1"/>
      </t>
    </mdx>
    <mdx n="0" f="v">
      <t c="3" fi="0">
        <n x="23"/>
        <n x="3"/>
        <n x="48" s="1"/>
      </t>
    </mdx>
    <mdx n="0" f="v">
      <t c="4" fi="0">
        <n x="24"/>
        <n x="13"/>
        <n x="3"/>
        <n x="48" s="1"/>
      </t>
    </mdx>
    <mdx n="0" f="v">
      <t c="3" fi="0">
        <n x="24"/>
        <n x="5"/>
        <n x="48" s="1"/>
      </t>
    </mdx>
    <mdx n="0" f="v">
      <t c="3" fi="0">
        <n x="24"/>
        <n x="3"/>
        <n x="48" s="1"/>
      </t>
    </mdx>
    <mdx n="0" f="v">
      <t c="4" fi="0">
        <n x="25"/>
        <n x="7"/>
        <n x="3"/>
        <n x="48" s="1"/>
      </t>
    </mdx>
    <mdx n="0" f="v">
      <t c="3" fi="0">
        <n x="25"/>
        <n x="5"/>
        <n x="48" s="1"/>
      </t>
    </mdx>
    <mdx n="0" f="v">
      <t c="3" fi="0">
        <n x="25"/>
        <n x="3"/>
        <n x="48" s="1"/>
      </t>
    </mdx>
    <mdx n="0" f="v">
      <t c="4" fi="0">
        <n x="26"/>
        <n x="13"/>
        <n x="3"/>
        <n x="48" s="1"/>
      </t>
    </mdx>
    <mdx n="0" f="v">
      <t c="3" fi="0">
        <n x="26"/>
        <n x="5"/>
        <n x="48" s="1"/>
      </t>
    </mdx>
    <mdx n="0" f="v">
      <t c="3" fi="0">
        <n x="26"/>
        <n x="3"/>
        <n x="48" s="1"/>
      </t>
    </mdx>
    <mdx n="0" f="v">
      <t c="4" fi="0">
        <n x="27"/>
        <n x="7"/>
        <n x="3"/>
        <n x="48" s="1"/>
      </t>
    </mdx>
    <mdx n="0" f="v">
      <t c="3" fi="0">
        <n x="27"/>
        <n x="5"/>
        <n x="48" s="1"/>
      </t>
    </mdx>
    <mdx n="0" f="v">
      <t c="3" fi="0">
        <n x="27"/>
        <n x="3"/>
        <n x="48" s="1"/>
      </t>
    </mdx>
    <mdx n="0" f="v">
      <t c="4" fi="0">
        <n x="28"/>
        <n x="15"/>
        <n x="3"/>
        <n x="48" s="1"/>
      </t>
    </mdx>
    <mdx n="0" f="v">
      <t c="3" fi="0">
        <n x="28"/>
        <n x="5"/>
        <n x="48" s="1"/>
      </t>
    </mdx>
    <mdx n="0" f="v">
      <t c="3" fi="0">
        <n x="28"/>
        <n x="3"/>
        <n x="48" s="1"/>
      </t>
    </mdx>
    <mdx n="0" f="v">
      <t c="4" fi="0">
        <n x="29"/>
        <n x="13"/>
        <n x="3"/>
        <n x="48" s="1"/>
      </t>
    </mdx>
    <mdx n="0" f="v">
      <t c="3" fi="0">
        <n x="29"/>
        <n x="5"/>
        <n x="48" s="1"/>
      </t>
    </mdx>
    <mdx n="0" f="v">
      <t c="3" fi="0">
        <n x="29"/>
        <n x="3"/>
        <n x="48" s="1"/>
      </t>
    </mdx>
    <mdx n="0" f="v">
      <t c="4" fi="0">
        <n x="30"/>
        <n x="2"/>
        <n x="3"/>
        <n x="48" s="1"/>
      </t>
    </mdx>
    <mdx n="0" f="v">
      <t c="3" fi="0">
        <n x="30"/>
        <n x="5"/>
        <n x="48" s="1"/>
      </t>
    </mdx>
    <mdx n="0" f="v">
      <t c="3" fi="0">
        <n x="30"/>
        <n x="3"/>
        <n x="48" s="1"/>
      </t>
    </mdx>
    <mdx n="0" f="v">
      <t c="4" fi="0">
        <n x="31"/>
        <n x="2"/>
        <n x="3"/>
        <n x="48" s="1"/>
      </t>
    </mdx>
    <mdx n="0" f="v">
      <t c="3" fi="0">
        <n x="31"/>
        <n x="5"/>
        <n x="48" s="1"/>
      </t>
    </mdx>
    <mdx n="0" f="v">
      <t c="3" fi="0">
        <n x="31"/>
        <n x="3"/>
        <n x="48" s="1"/>
      </t>
    </mdx>
    <mdx n="0" f="v">
      <t c="4" fi="0">
        <n x="32"/>
        <n x="13"/>
        <n x="3"/>
        <n x="48" s="1"/>
      </t>
    </mdx>
    <mdx n="0" f="v">
      <t c="3" fi="0">
        <n x="32"/>
        <n x="5"/>
        <n x="48" s="1"/>
      </t>
    </mdx>
    <mdx n="0" f="v">
      <t c="3" fi="0">
        <n x="32"/>
        <n x="3"/>
        <n x="48" s="1"/>
      </t>
    </mdx>
    <mdx n="0" f="v">
      <t c="4" fi="0">
        <n x="33"/>
        <n x="15"/>
        <n x="3"/>
        <n x="48" s="1"/>
      </t>
    </mdx>
    <mdx n="0" f="v">
      <t c="3" fi="0">
        <n x="33"/>
        <n x="5"/>
        <n x="48" s="1"/>
      </t>
    </mdx>
    <mdx n="0" f="v">
      <t c="3" fi="0">
        <n x="33"/>
        <n x="3"/>
        <n x="48" s="1"/>
      </t>
    </mdx>
    <mdx n="0" f="v">
      <t c="4" fi="0">
        <n x="34"/>
        <n x="7"/>
        <n x="3"/>
        <n x="48" s="1"/>
      </t>
    </mdx>
    <mdx n="0" f="v">
      <t c="3" fi="0">
        <n x="34"/>
        <n x="5"/>
        <n x="48" s="1"/>
      </t>
    </mdx>
    <mdx n="0" f="v">
      <t c="3" fi="0">
        <n x="34"/>
        <n x="3"/>
        <n x="48" s="1"/>
      </t>
    </mdx>
    <mdx n="0" f="v">
      <t c="4" fi="0">
        <n x="35"/>
        <n x="13"/>
        <n x="3"/>
        <n x="48" s="1"/>
      </t>
    </mdx>
    <mdx n="0" f="v">
      <t c="3" fi="0">
        <n x="35"/>
        <n x="5"/>
        <n x="48" s="1"/>
      </t>
    </mdx>
    <mdx n="0" f="v">
      <t c="3" fi="0">
        <n x="35"/>
        <n x="3"/>
        <n x="48" s="1"/>
      </t>
    </mdx>
    <mdx n="0" f="v">
      <t c="4" fi="0">
        <n x="36"/>
        <n x="13"/>
        <n x="3"/>
        <n x="48" s="1"/>
      </t>
    </mdx>
    <mdx n="0" f="v">
      <t c="3" fi="0">
        <n x="36"/>
        <n x="5"/>
        <n x="48" s="1"/>
      </t>
    </mdx>
    <mdx n="0" f="v">
      <t c="3" fi="0">
        <n x="36"/>
        <n x="3"/>
        <n x="48" s="1"/>
      </t>
    </mdx>
    <mdx n="0" f="r">
      <t c="2">
        <n x="49"/>
        <n x="43"/>
      </t>
    </mdx>
    <mdx n="0" f="r">
      <t c="2">
        <n x="49"/>
        <n x="50"/>
      </t>
    </mdx>
    <mdx n="0" f="v">
      <t c="4" fi="0">
        <n x="1"/>
        <n x="13"/>
        <n x="3"/>
        <n x="51" s="1"/>
      </t>
    </mdx>
    <mdx n="0" f="v">
      <t c="3" fi="0">
        <n x="1"/>
        <n x="5"/>
        <n x="51" s="1"/>
      </t>
    </mdx>
    <mdx n="0" f="v">
      <t c="3" fi="0">
        <n x="1"/>
        <n x="3"/>
        <n x="51" s="1"/>
      </t>
    </mdx>
    <mdx n="0" f="v">
      <t c="4" fi="0">
        <n x="6"/>
        <n x="13"/>
        <n x="3"/>
        <n x="51" s="1"/>
      </t>
    </mdx>
    <mdx n="0" f="v">
      <t c="3" fi="0">
        <n x="6"/>
        <n x="5"/>
        <n x="51" s="1"/>
      </t>
    </mdx>
    <mdx n="0" f="v">
      <t c="3" fi="0">
        <n x="6"/>
        <n x="3"/>
        <n x="51" s="1"/>
      </t>
    </mdx>
    <mdx n="0" f="v">
      <t c="4" fi="0">
        <n x="8"/>
        <n x="2"/>
        <n x="3"/>
        <n x="51" s="1"/>
      </t>
    </mdx>
    <mdx n="0" f="v">
      <t c="3" fi="0">
        <n x="8"/>
        <n x="5"/>
        <n x="51" s="1"/>
      </t>
    </mdx>
    <mdx n="0" f="v">
      <t c="3" fi="0">
        <n x="8"/>
        <n x="3"/>
        <n x="51" s="1"/>
      </t>
    </mdx>
    <mdx n="0" f="v">
      <t c="4" fi="0">
        <n x="10"/>
        <n x="15"/>
        <n x="3"/>
        <n x="51" s="1"/>
      </t>
    </mdx>
    <mdx n="0" f="v">
      <t c="3" fi="0">
        <n x="10"/>
        <n x="5"/>
        <n x="51" s="1"/>
      </t>
    </mdx>
    <mdx n="0" f="v">
      <t c="3" fi="0">
        <n x="10"/>
        <n x="3"/>
        <n x="51" s="1"/>
      </t>
    </mdx>
    <mdx n="0" f="v">
      <t c="4" fi="0">
        <n x="12"/>
        <n x="2"/>
        <n x="3"/>
        <n x="51" s="1"/>
      </t>
    </mdx>
    <mdx n="0" f="v">
      <t c="3" fi="0">
        <n x="12"/>
        <n x="5"/>
        <n x="51" s="1"/>
      </t>
    </mdx>
    <mdx n="0" f="v">
      <t c="3" fi="0">
        <n x="12"/>
        <n x="3"/>
        <n x="51" s="1"/>
      </t>
    </mdx>
    <mdx n="0" f="v">
      <t c="4" fi="0">
        <n x="14"/>
        <n x="7"/>
        <n x="3"/>
        <n x="51" s="1"/>
      </t>
    </mdx>
    <mdx n="0" f="v">
      <t c="3" fi="0">
        <n x="14"/>
        <n x="5"/>
        <n x="51" s="1"/>
      </t>
    </mdx>
    <mdx n="0" f="v">
      <t c="3" fi="0">
        <n x="14"/>
        <n x="3"/>
        <n x="51" s="1"/>
      </t>
    </mdx>
    <mdx n="0" f="v">
      <t c="4" fi="0">
        <n x="16"/>
        <n x="13"/>
        <n x="3"/>
        <n x="51" s="1"/>
      </t>
    </mdx>
    <mdx n="0" f="v">
      <t c="3" fi="0">
        <n x="16"/>
        <n x="5"/>
        <n x="51" s="1"/>
      </t>
    </mdx>
    <mdx n="0" f="v">
      <t c="3" fi="0">
        <n x="16"/>
        <n x="3"/>
        <n x="51" s="1"/>
      </t>
    </mdx>
    <mdx n="0" f="v">
      <t c="4" fi="0">
        <n x="17"/>
        <n x="15"/>
        <n x="3"/>
        <n x="51" s="1"/>
      </t>
    </mdx>
    <mdx n="0" f="v">
      <t c="3" fi="0">
        <n x="17"/>
        <n x="5"/>
        <n x="51" s="1"/>
      </t>
    </mdx>
    <mdx n="0" f="v">
      <t c="3" fi="0">
        <n x="17"/>
        <n x="3"/>
        <n x="51" s="1"/>
      </t>
    </mdx>
    <mdx n="0" f="v">
      <t c="4" fi="0">
        <n x="18"/>
        <n x="9"/>
        <n x="3"/>
        <n x="51" s="1"/>
      </t>
    </mdx>
    <mdx n="0" f="v">
      <t c="3" fi="0">
        <n x="18"/>
        <n x="5"/>
        <n x="51" s="1"/>
      </t>
    </mdx>
    <mdx n="0" f="v">
      <t c="3" fi="0">
        <n x="18"/>
        <n x="3"/>
        <n x="51" s="1"/>
      </t>
    </mdx>
    <mdx n="0" f="v">
      <t c="4" fi="0">
        <n x="19"/>
        <n x="13"/>
        <n x="3"/>
        <n x="51" s="1"/>
      </t>
    </mdx>
    <mdx n="0" f="v">
      <t c="3" fi="0">
        <n x="19"/>
        <n x="5"/>
        <n x="51" s="1"/>
      </t>
    </mdx>
    <mdx n="0" f="v">
      <t c="3" fi="0">
        <n x="19"/>
        <n x="3"/>
        <n x="51" s="1"/>
      </t>
    </mdx>
    <mdx n="0" f="v">
      <t c="4" fi="0">
        <n x="20"/>
        <n x="37"/>
        <n x="3"/>
        <n x="51" s="1"/>
      </t>
    </mdx>
    <mdx n="0" f="v">
      <t c="3" fi="0">
        <n x="20"/>
        <n x="5"/>
        <n x="51" s="1"/>
      </t>
    </mdx>
    <mdx n="0" f="v">
      <t c="3" fi="0">
        <n x="20"/>
        <n x="3"/>
        <n x="51" s="1"/>
      </t>
    </mdx>
    <mdx n="0" f="v">
      <t c="4" fi="0">
        <n x="21"/>
        <n x="15"/>
        <n x="3"/>
        <n x="51" s="1"/>
      </t>
    </mdx>
    <mdx n="0" f="v">
      <t c="3" fi="0">
        <n x="21"/>
        <n x="5"/>
        <n x="51" s="1"/>
      </t>
    </mdx>
    <mdx n="0" f="v">
      <t c="3" fi="0">
        <n x="21"/>
        <n x="3"/>
        <n x="51" s="1"/>
      </t>
    </mdx>
    <mdx n="0" f="v">
      <t c="4" fi="0">
        <n x="22"/>
        <n x="2"/>
        <n x="3"/>
        <n x="51" s="1"/>
      </t>
    </mdx>
    <mdx n="0" f="v">
      <t c="3" fi="0">
        <n x="22"/>
        <n x="5"/>
        <n x="51" s="1"/>
      </t>
    </mdx>
    <mdx n="0" f="v">
      <t c="3" fi="0">
        <n x="22"/>
        <n x="3"/>
        <n x="51" s="1"/>
      </t>
    </mdx>
    <mdx n="0" f="v">
      <t c="4" fi="0">
        <n x="23"/>
        <n x="13"/>
        <n x="3"/>
        <n x="51" s="1"/>
      </t>
    </mdx>
    <mdx n="0" f="v">
      <t c="3" fi="0">
        <n x="23"/>
        <n x="5"/>
        <n x="51" s="1"/>
      </t>
    </mdx>
    <mdx n="0" f="v">
      <t c="3" fi="0">
        <n x="23"/>
        <n x="3"/>
        <n x="51" s="1"/>
      </t>
    </mdx>
    <mdx n="0" f="v">
      <t c="4" fi="0">
        <n x="24"/>
        <n x="2"/>
        <n x="3"/>
        <n x="51" s="1"/>
      </t>
    </mdx>
    <mdx n="0" f="v">
      <t c="3" fi="0">
        <n x="24"/>
        <n x="5"/>
        <n x="51" s="1"/>
      </t>
    </mdx>
    <mdx n="0" f="v">
      <t c="3" fi="0">
        <n x="24"/>
        <n x="3"/>
        <n x="51" s="1"/>
      </t>
    </mdx>
    <mdx n="0" f="v">
      <t c="4" fi="0">
        <n x="25"/>
        <n x="2"/>
        <n x="3"/>
        <n x="51" s="1"/>
      </t>
    </mdx>
    <mdx n="0" f="v">
      <t c="3" fi="0">
        <n x="25"/>
        <n x="5"/>
        <n x="51" s="1"/>
      </t>
    </mdx>
    <mdx n="0" f="v">
      <t c="3" fi="0">
        <n x="25"/>
        <n x="3"/>
        <n x="51" s="1"/>
      </t>
    </mdx>
    <mdx n="0" f="v">
      <t c="4" fi="0">
        <n x="26"/>
        <n x="9"/>
        <n x="3"/>
        <n x="51" s="1"/>
      </t>
    </mdx>
    <mdx n="0" f="v">
      <t c="3" fi="0">
        <n x="26"/>
        <n x="5"/>
        <n x="51" s="1"/>
      </t>
    </mdx>
    <mdx n="0" f="v">
      <t c="3" fi="0">
        <n x="26"/>
        <n x="3"/>
        <n x="51" s="1"/>
      </t>
    </mdx>
    <mdx n="0" f="v">
      <t c="4" fi="0">
        <n x="27"/>
        <n x="13"/>
        <n x="3"/>
        <n x="51" s="1"/>
      </t>
    </mdx>
    <mdx n="0" f="v">
      <t c="3" fi="0">
        <n x="27"/>
        <n x="5"/>
        <n x="51" s="1"/>
      </t>
    </mdx>
    <mdx n="0" f="v">
      <t c="3" fi="0">
        <n x="27"/>
        <n x="3"/>
        <n x="51" s="1"/>
      </t>
    </mdx>
    <mdx n="0" f="v">
      <t c="4" fi="0">
        <n x="28"/>
        <n x="15"/>
        <n x="3"/>
        <n x="51" s="1"/>
      </t>
    </mdx>
    <mdx n="0" f="v">
      <t c="3" fi="0">
        <n x="28"/>
        <n x="5"/>
        <n x="51" s="1"/>
      </t>
    </mdx>
    <mdx n="0" f="v">
      <t c="3" fi="0">
        <n x="28"/>
        <n x="3"/>
        <n x="51" s="1"/>
      </t>
    </mdx>
    <mdx n="0" f="v">
      <t c="4" fi="0">
        <n x="29"/>
        <n x="9"/>
        <n x="3"/>
        <n x="51" s="1"/>
      </t>
    </mdx>
    <mdx n="0" f="v">
      <t c="3" fi="0">
        <n x="29"/>
        <n x="5"/>
        <n x="51" s="1"/>
      </t>
    </mdx>
    <mdx n="0" f="v">
      <t c="3" fi="0">
        <n x="29"/>
        <n x="3"/>
        <n x="51" s="1"/>
      </t>
    </mdx>
    <mdx n="0" f="v">
      <t c="4" fi="0">
        <n x="30"/>
        <n x="2"/>
        <n x="3"/>
        <n x="51" s="1"/>
      </t>
    </mdx>
    <mdx n="0" f="v">
      <t c="3" fi="0">
        <n x="30"/>
        <n x="5"/>
        <n x="51" s="1"/>
      </t>
    </mdx>
    <mdx n="0" f="v">
      <t c="3" fi="0">
        <n x="30"/>
        <n x="3"/>
        <n x="51" s="1"/>
      </t>
    </mdx>
    <mdx n="0" f="v">
      <t c="4" fi="0">
        <n x="31"/>
        <n x="13"/>
        <n x="3"/>
        <n x="51" s="1"/>
      </t>
    </mdx>
    <mdx n="0" f="v">
      <t c="3" fi="0">
        <n x="31"/>
        <n x="5"/>
        <n x="51" s="1"/>
      </t>
    </mdx>
    <mdx n="0" f="v">
      <t c="3" fi="0">
        <n x="31"/>
        <n x="3"/>
        <n x="51" s="1"/>
      </t>
    </mdx>
    <mdx n="0" f="v">
      <t c="4" fi="0">
        <n x="32"/>
        <n x="15"/>
        <n x="3"/>
        <n x="51" s="1"/>
      </t>
    </mdx>
    <mdx n="0" f="v">
      <t c="3" fi="0">
        <n x="32"/>
        <n x="5"/>
        <n x="51" s="1"/>
      </t>
    </mdx>
    <mdx n="0" f="v">
      <t c="3" fi="0">
        <n x="32"/>
        <n x="3"/>
        <n x="51" s="1"/>
      </t>
    </mdx>
    <mdx n="0" f="v">
      <t c="4" fi="0">
        <n x="33"/>
        <n x="2"/>
        <n x="3"/>
        <n x="51" s="1"/>
      </t>
    </mdx>
    <mdx n="0" f="v">
      <t c="3" fi="0">
        <n x="33"/>
        <n x="5"/>
        <n x="51" s="1"/>
      </t>
    </mdx>
    <mdx n="0" f="v">
      <t c="3" fi="0">
        <n x="33"/>
        <n x="3"/>
        <n x="51" s="1"/>
      </t>
    </mdx>
    <mdx n="0" f="v">
      <t c="4" fi="0">
        <n x="34"/>
        <n x="13"/>
        <n x="3"/>
        <n x="51" s="1"/>
      </t>
    </mdx>
    <mdx n="0" f="v">
      <t c="3" fi="0">
        <n x="34"/>
        <n x="5"/>
        <n x="51" s="1"/>
      </t>
    </mdx>
    <mdx n="0" f="v">
      <t c="3" fi="0">
        <n x="34"/>
        <n x="3"/>
        <n x="51" s="1"/>
      </t>
    </mdx>
    <mdx n="0" f="v">
      <t c="4" fi="0">
        <n x="35"/>
        <n x="13"/>
        <n x="3"/>
        <n x="51" s="1"/>
      </t>
    </mdx>
    <mdx n="0" f="v">
      <t c="3" fi="0">
        <n x="35"/>
        <n x="5"/>
        <n x="51" s="1"/>
      </t>
    </mdx>
    <mdx n="0" f="v">
      <t c="3" fi="0">
        <n x="35"/>
        <n x="3"/>
        <n x="51" s="1"/>
      </t>
    </mdx>
    <mdx n="0" f="v">
      <t c="4" fi="0">
        <n x="36"/>
        <n x="13"/>
        <n x="3"/>
        <n x="51" s="1"/>
      </t>
    </mdx>
    <mdx n="0" f="v">
      <t c="3" fi="0">
        <n x="36"/>
        <n x="5"/>
        <n x="51" s="1"/>
      </t>
    </mdx>
    <mdx n="0" f="v">
      <t c="3" fi="0">
        <n x="36"/>
        <n x="3"/>
        <n x="51" s="1"/>
      </t>
    </mdx>
    <mdx n="0" f="r">
      <t c="2">
        <n x="52"/>
        <n x="43"/>
      </t>
    </mdx>
    <mdx n="0" f="r">
      <t c="2">
        <n x="52"/>
        <n x="53"/>
      </t>
    </mdx>
    <mdx n="0" f="v">
      <t c="4" fi="0">
        <n x="1"/>
        <n x="37"/>
        <n x="3"/>
        <n x="54" s="1"/>
      </t>
    </mdx>
    <mdx n="0" f="v">
      <t c="3" fi="0">
        <n x="1"/>
        <n x="5"/>
        <n x="54" s="1"/>
      </t>
    </mdx>
    <mdx n="0" f="v">
      <t c="3" fi="0">
        <n x="1"/>
        <n x="3"/>
        <n x="54" s="1"/>
      </t>
    </mdx>
    <mdx n="0" f="v">
      <t c="4" fi="0">
        <n x="6"/>
        <n x="9"/>
        <n x="3"/>
        <n x="54" s="1"/>
      </t>
    </mdx>
    <mdx n="0" f="v">
      <t c="3" fi="0">
        <n x="6"/>
        <n x="5"/>
        <n x="54" s="1"/>
      </t>
    </mdx>
    <mdx n="0" f="v">
      <t c="3" fi="0">
        <n x="6"/>
        <n x="3"/>
        <n x="54" s="1"/>
      </t>
    </mdx>
    <mdx n="0" f="v">
      <t c="4" fi="0">
        <n x="8"/>
        <n x="7"/>
        <n x="3"/>
        <n x="54" s="1"/>
      </t>
    </mdx>
    <mdx n="0" f="v">
      <t c="3" fi="0">
        <n x="8"/>
        <n x="5"/>
        <n x="54" s="1"/>
      </t>
    </mdx>
    <mdx n="0" f="v">
      <t c="3" fi="0">
        <n x="8"/>
        <n x="3"/>
        <n x="54" s="1"/>
      </t>
    </mdx>
    <mdx n="0" f="v">
      <t c="4" fi="0">
        <n x="10"/>
        <n x="15"/>
        <n x="3"/>
        <n x="54" s="1"/>
      </t>
    </mdx>
    <mdx n="0" f="v">
      <t c="3" fi="0">
        <n x="10"/>
        <n x="5"/>
        <n x="54" s="1"/>
      </t>
    </mdx>
    <mdx n="0" f="v">
      <t c="3" fi="0">
        <n x="10"/>
        <n x="3"/>
        <n x="54" s="1"/>
      </t>
    </mdx>
    <mdx n="0" f="v">
      <t c="4" fi="0">
        <n x="12"/>
        <n x="7"/>
        <n x="3"/>
        <n x="54" s="1"/>
      </t>
    </mdx>
    <mdx n="0" f="v">
      <t c="3" fi="0">
        <n x="12"/>
        <n x="5"/>
        <n x="54" s="1"/>
      </t>
    </mdx>
    <mdx n="0" f="v">
      <t c="3" fi="0">
        <n x="12"/>
        <n x="3"/>
        <n x="54" s="1"/>
      </t>
    </mdx>
    <mdx n="0" f="v">
      <t c="4" fi="0">
        <n x="14"/>
        <n x="2"/>
        <n x="3"/>
        <n x="54" s="1"/>
      </t>
    </mdx>
    <mdx n="0" f="v">
      <t c="3" fi="0">
        <n x="14"/>
        <n x="5"/>
        <n x="54" s="1"/>
      </t>
    </mdx>
    <mdx n="0" f="v">
      <t c="3" fi="0">
        <n x="14"/>
        <n x="3"/>
        <n x="54" s="1"/>
      </t>
    </mdx>
    <mdx n="0" f="v">
      <t c="4" fi="0">
        <n x="16"/>
        <n x="2"/>
        <n x="3"/>
        <n x="54" s="1"/>
      </t>
    </mdx>
    <mdx n="0" f="v">
      <t c="3" fi="0">
        <n x="16"/>
        <n x="5"/>
        <n x="54" s="1"/>
      </t>
    </mdx>
    <mdx n="0" f="v">
      <t c="3" fi="0">
        <n x="16"/>
        <n x="3"/>
        <n x="54" s="1"/>
      </t>
    </mdx>
    <mdx n="0" f="v">
      <t c="4" fi="0">
        <n x="17"/>
        <n x="7"/>
        <n x="3"/>
        <n x="54" s="1"/>
      </t>
    </mdx>
    <mdx n="0" f="v">
      <t c="3" fi="0">
        <n x="17"/>
        <n x="5"/>
        <n x="54" s="1"/>
      </t>
    </mdx>
    <mdx n="0" f="v">
      <t c="3" fi="0">
        <n x="17"/>
        <n x="3"/>
        <n x="54" s="1"/>
      </t>
    </mdx>
    <mdx n="0" f="v">
      <t c="4" fi="0">
        <n x="18"/>
        <n x="15"/>
        <n x="3"/>
        <n x="54" s="1"/>
      </t>
    </mdx>
    <mdx n="0" f="v">
      <t c="3" fi="0">
        <n x="18"/>
        <n x="5"/>
        <n x="54" s="1"/>
      </t>
    </mdx>
    <mdx n="0" f="v">
      <t c="3" fi="0">
        <n x="18"/>
        <n x="3"/>
        <n x="54" s="1"/>
      </t>
    </mdx>
    <mdx n="0" f="v">
      <t c="4" fi="0">
        <n x="19"/>
        <n x="13"/>
        <n x="3"/>
        <n x="54" s="1"/>
      </t>
    </mdx>
    <mdx n="0" f="v">
      <t c="3" fi="0">
        <n x="19"/>
        <n x="5"/>
        <n x="54" s="1"/>
      </t>
    </mdx>
    <mdx n="0" f="v">
      <t c="3" fi="0">
        <n x="19"/>
        <n x="3"/>
        <n x="54" s="1"/>
      </t>
    </mdx>
    <mdx n="0" f="v">
      <t c="4" fi="0">
        <n x="20"/>
        <n x="15"/>
        <n x="3"/>
        <n x="54" s="1"/>
      </t>
    </mdx>
    <mdx n="0" f="v">
      <t c="3" fi="0">
        <n x="20"/>
        <n x="5"/>
        <n x="54" s="1"/>
      </t>
    </mdx>
    <mdx n="0" f="v">
      <t c="3" fi="0">
        <n x="20"/>
        <n x="3"/>
        <n x="54" s="1"/>
      </t>
    </mdx>
    <mdx n="0" f="v">
      <t c="4" fi="0">
        <n x="21"/>
        <n x="11"/>
        <n x="3"/>
        <n x="54" s="1"/>
      </t>
    </mdx>
    <mdx n="0" f="v">
      <t c="3" fi="0">
        <n x="21"/>
        <n x="5"/>
        <n x="54" s="1"/>
      </t>
    </mdx>
    <mdx n="0" f="v">
      <t c="3" fi="0">
        <n x="21"/>
        <n x="3"/>
        <n x="54" s="1"/>
      </t>
    </mdx>
    <mdx n="0" f="v">
      <t c="4" fi="0">
        <n x="22"/>
        <n x="2"/>
        <n x="3"/>
        <n x="54" s="1"/>
      </t>
    </mdx>
    <mdx n="0" f="v">
      <t c="3" fi="0">
        <n x="22"/>
        <n x="5"/>
        <n x="54" s="1"/>
      </t>
    </mdx>
    <mdx n="0" f="v">
      <t c="3" fi="0">
        <n x="22"/>
        <n x="3"/>
        <n x="54" s="1"/>
      </t>
    </mdx>
    <mdx n="0" f="v">
      <t c="4" fi="0">
        <n x="23"/>
        <n x="7"/>
        <n x="3"/>
        <n x="54" s="1"/>
      </t>
    </mdx>
    <mdx n="0" f="v">
      <t c="3" fi="0">
        <n x="23"/>
        <n x="5"/>
        <n x="54" s="1"/>
      </t>
    </mdx>
    <mdx n="0" f="v">
      <t c="3" fi="0">
        <n x="23"/>
        <n x="3"/>
        <n x="54" s="1"/>
      </t>
    </mdx>
    <mdx n="0" f="v">
      <t c="4" fi="0">
        <n x="24"/>
        <n x="7"/>
        <n x="3"/>
        <n x="54" s="1"/>
      </t>
    </mdx>
    <mdx n="0" f="v">
      <t c="3" fi="0">
        <n x="24"/>
        <n x="5"/>
        <n x="54" s="1"/>
      </t>
    </mdx>
    <mdx n="0" f="v">
      <t c="3" fi="0">
        <n x="24"/>
        <n x="3"/>
        <n x="54" s="1"/>
      </t>
    </mdx>
    <mdx n="0" f="v">
      <t c="4" fi="0">
        <n x="25"/>
        <n x="13"/>
        <n x="3"/>
        <n x="54" s="1"/>
      </t>
    </mdx>
    <mdx n="0" f="v">
      <t c="3" fi="0">
        <n x="25"/>
        <n x="5"/>
        <n x="54" s="1"/>
      </t>
    </mdx>
    <mdx n="0" f="v">
      <t c="3" fi="0">
        <n x="25"/>
        <n x="3"/>
        <n x="54" s="1"/>
      </t>
    </mdx>
    <mdx n="0" f="v">
      <t c="4" fi="0">
        <n x="26"/>
        <n x="9"/>
        <n x="3"/>
        <n x="54" s="1"/>
      </t>
    </mdx>
    <mdx n="0" f="v">
      <t c="3" fi="0">
        <n x="26"/>
        <n x="5"/>
        <n x="54" s="1"/>
      </t>
    </mdx>
    <mdx n="0" f="v">
      <t c="3" fi="0">
        <n x="26"/>
        <n x="3"/>
        <n x="54" s="1"/>
      </t>
    </mdx>
    <mdx n="0" f="v">
      <t c="4" fi="0">
        <n x="27"/>
        <n x="7"/>
        <n x="3"/>
        <n x="54" s="1"/>
      </t>
    </mdx>
    <mdx n="0" f="v">
      <t c="3" fi="0">
        <n x="27"/>
        <n x="5"/>
        <n x="54" s="1"/>
      </t>
    </mdx>
    <mdx n="0" f="v">
      <t c="3" fi="0">
        <n x="27"/>
        <n x="3"/>
        <n x="54" s="1"/>
      </t>
    </mdx>
    <mdx n="0" f="v">
      <t c="4" fi="0">
        <n x="28"/>
        <n x="7"/>
        <n x="3"/>
        <n x="54" s="1"/>
      </t>
    </mdx>
    <mdx n="0" f="v">
      <t c="3" fi="0">
        <n x="28"/>
        <n x="5"/>
        <n x="54" s="1"/>
      </t>
    </mdx>
    <mdx n="0" f="v">
      <t c="3" fi="0">
        <n x="28"/>
        <n x="3"/>
        <n x="54" s="1"/>
      </t>
    </mdx>
    <mdx n="0" f="v">
      <t c="4" fi="0">
        <n x="29"/>
        <n x="7"/>
        <n x="3"/>
        <n x="54" s="1"/>
      </t>
    </mdx>
    <mdx n="0" f="v">
      <t c="3" fi="0">
        <n x="29"/>
        <n x="5"/>
        <n x="54" s="1"/>
      </t>
    </mdx>
    <mdx n="0" f="v">
      <t c="3" fi="0">
        <n x="29"/>
        <n x="3"/>
        <n x="54" s="1"/>
      </t>
    </mdx>
    <mdx n="0" f="v">
      <t c="4" fi="0">
        <n x="30"/>
        <n x="2"/>
        <n x="3"/>
        <n x="54" s="1"/>
      </t>
    </mdx>
    <mdx n="0" f="v">
      <t c="3" fi="0">
        <n x="30"/>
        <n x="5"/>
        <n x="54" s="1"/>
      </t>
    </mdx>
    <mdx n="0" f="v">
      <t c="3" fi="0">
        <n x="30"/>
        <n x="3"/>
        <n x="54" s="1"/>
      </t>
    </mdx>
    <mdx n="0" f="v">
      <t c="4" fi="0">
        <n x="31"/>
        <n x="13"/>
        <n x="3"/>
        <n x="54" s="1"/>
      </t>
    </mdx>
    <mdx n="0" f="v">
      <t c="3" fi="0">
        <n x="31"/>
        <n x="5"/>
        <n x="54" s="1"/>
      </t>
    </mdx>
    <mdx n="0" f="v">
      <t c="3" fi="0">
        <n x="31"/>
        <n x="3"/>
        <n x="54" s="1"/>
      </t>
    </mdx>
    <mdx n="0" f="v">
      <t c="4" fi="0">
        <n x="32"/>
        <n x="9"/>
        <n x="3"/>
        <n x="54" s="1"/>
      </t>
    </mdx>
    <mdx n="0" f="v">
      <t c="3" fi="0">
        <n x="32"/>
        <n x="5"/>
        <n x="54" s="1"/>
      </t>
    </mdx>
    <mdx n="0" f="v">
      <t c="3" fi="0">
        <n x="32"/>
        <n x="3"/>
        <n x="54" s="1"/>
      </t>
    </mdx>
    <mdx n="0" f="v">
      <t c="4" fi="0">
        <n x="33"/>
        <n x="13"/>
        <n x="3"/>
        <n x="54" s="1"/>
      </t>
    </mdx>
    <mdx n="0" f="v">
      <t c="3" fi="0">
        <n x="33"/>
        <n x="5"/>
        <n x="54" s="1"/>
      </t>
    </mdx>
    <mdx n="0" f="v">
      <t c="3" fi="0">
        <n x="33"/>
        <n x="3"/>
        <n x="54" s="1"/>
      </t>
    </mdx>
    <mdx n="0" f="v">
      <t c="4" fi="0">
        <n x="34"/>
        <n x="11"/>
        <n x="3"/>
        <n x="54" s="1"/>
      </t>
    </mdx>
    <mdx n="0" f="v">
      <t c="3" fi="0">
        <n x="34"/>
        <n x="5"/>
        <n x="54" s="1"/>
      </t>
    </mdx>
    <mdx n="0" f="v">
      <t c="3" fi="0">
        <n x="34"/>
        <n x="3"/>
        <n x="54" s="1"/>
      </t>
    </mdx>
    <mdx n="0" f="v">
      <t c="4" fi="0">
        <n x="35"/>
        <n x="9"/>
        <n x="3"/>
        <n x="54" s="1"/>
      </t>
    </mdx>
    <mdx n="0" f="v">
      <t c="3" fi="0">
        <n x="35"/>
        <n x="5"/>
        <n x="54" s="1"/>
      </t>
    </mdx>
    <mdx n="0" f="v">
      <t c="3" fi="0">
        <n x="35"/>
        <n x="3"/>
        <n x="54" s="1"/>
      </t>
    </mdx>
    <mdx n="0" f="v">
      <t c="4" fi="0">
        <n x="36"/>
        <n x="13"/>
        <n x="3"/>
        <n x="54" s="1"/>
      </t>
    </mdx>
    <mdx n="0" f="v">
      <t c="3" fi="0">
        <n x="36"/>
        <n x="5"/>
        <n x="54" s="1"/>
      </t>
    </mdx>
    <mdx n="0" f="v">
      <t c="3" fi="0">
        <n x="36"/>
        <n x="3"/>
        <n x="54" s="1"/>
      </t>
    </mdx>
    <mdx n="0" f="r">
      <t c="2">
        <n x="55"/>
        <n x="43"/>
      </t>
    </mdx>
    <mdx n="0" f="r">
      <t c="2">
        <n x="55"/>
        <n x="56"/>
      </t>
    </mdx>
    <mdx n="0" f="v">
      <t c="4" fi="0">
        <n x="1"/>
        <n x="13"/>
        <n x="3"/>
        <n x="57" s="1"/>
      </t>
    </mdx>
    <mdx n="0" f="v">
      <t c="3" fi="0">
        <n x="1"/>
        <n x="5"/>
        <n x="57" s="1"/>
      </t>
    </mdx>
    <mdx n="0" f="v">
      <t c="3" fi="0">
        <n x="1"/>
        <n x="3"/>
        <n x="57" s="1"/>
      </t>
    </mdx>
    <mdx n="0" f="v">
      <t c="4" fi="0">
        <n x="6"/>
        <n x="7"/>
        <n x="3"/>
        <n x="57" s="1"/>
      </t>
    </mdx>
    <mdx n="0" f="v">
      <t c="3" fi="0">
        <n x="6"/>
        <n x="5"/>
        <n x="57" s="1"/>
      </t>
    </mdx>
    <mdx n="0" f="v">
      <t c="3" fi="0">
        <n x="6"/>
        <n x="3"/>
        <n x="57" s="1"/>
      </t>
    </mdx>
    <mdx n="0" f="v">
      <t c="4" fi="0">
        <n x="8"/>
        <n x="9"/>
        <n x="3"/>
        <n x="57" s="1"/>
      </t>
    </mdx>
    <mdx n="0" f="v">
      <t c="3" fi="0">
        <n x="8"/>
        <n x="5"/>
        <n x="57" s="1"/>
      </t>
    </mdx>
    <mdx n="0" f="v">
      <t c="3" fi="0">
        <n x="8"/>
        <n x="3"/>
        <n x="57" s="1"/>
      </t>
    </mdx>
    <mdx n="0" f="v">
      <t c="4" fi="0">
        <n x="10"/>
        <n x="15"/>
        <n x="3"/>
        <n x="57" s="1"/>
      </t>
    </mdx>
    <mdx n="0" f="v">
      <t c="3" fi="0">
        <n x="10"/>
        <n x="5"/>
        <n x="57" s="1"/>
      </t>
    </mdx>
    <mdx n="0" f="v">
      <t c="3" fi="0">
        <n x="10"/>
        <n x="3"/>
        <n x="57" s="1"/>
      </t>
    </mdx>
    <mdx n="0" f="v">
      <t c="4" fi="0">
        <n x="12"/>
        <n x="13"/>
        <n x="3"/>
        <n x="57" s="1"/>
      </t>
    </mdx>
    <mdx n="0" f="v">
      <t c="3" fi="0">
        <n x="12"/>
        <n x="5"/>
        <n x="57" s="1"/>
      </t>
    </mdx>
    <mdx n="0" f="v">
      <t c="3" fi="0">
        <n x="12"/>
        <n x="3"/>
        <n x="57" s="1"/>
      </t>
    </mdx>
    <mdx n="0" f="v">
      <t c="4" fi="0">
        <n x="14"/>
        <n x="2"/>
        <n x="3"/>
        <n x="57" s="1"/>
      </t>
    </mdx>
    <mdx n="0" f="v">
      <t c="3" fi="0">
        <n x="14"/>
        <n x="5"/>
        <n x="57" s="1"/>
      </t>
    </mdx>
    <mdx n="0" f="v">
      <t c="3" fi="0">
        <n x="14"/>
        <n x="3"/>
        <n x="57" s="1"/>
      </t>
    </mdx>
    <mdx n="0" f="v">
      <t c="4" fi="0">
        <n x="16"/>
        <n x="9"/>
        <n x="3"/>
        <n x="57" s="1"/>
      </t>
    </mdx>
    <mdx n="0" f="v">
      <t c="3" fi="0">
        <n x="16"/>
        <n x="5"/>
        <n x="57" s="1"/>
      </t>
    </mdx>
    <mdx n="0" f="v">
      <t c="3" fi="0">
        <n x="16"/>
        <n x="3"/>
        <n x="57" s="1"/>
      </t>
    </mdx>
    <mdx n="0" f="v">
      <t c="4" fi="0">
        <n x="17"/>
        <n x="2"/>
        <n x="3"/>
        <n x="57" s="1"/>
      </t>
    </mdx>
    <mdx n="0" f="v">
      <t c="3" fi="0">
        <n x="17"/>
        <n x="5"/>
        <n x="57" s="1"/>
      </t>
    </mdx>
    <mdx n="0" f="v">
      <t c="3" fi="0">
        <n x="17"/>
        <n x="3"/>
        <n x="57" s="1"/>
      </t>
    </mdx>
    <mdx n="0" f="v">
      <t c="4" fi="0">
        <n x="18"/>
        <n x="13"/>
        <n x="3"/>
        <n x="57" s="1"/>
      </t>
    </mdx>
    <mdx n="0" f="v">
      <t c="3" fi="0">
        <n x="18"/>
        <n x="5"/>
        <n x="57" s="1"/>
      </t>
    </mdx>
    <mdx n="0" f="v">
      <t c="3" fi="0">
        <n x="18"/>
        <n x="3"/>
        <n x="57" s="1"/>
      </t>
    </mdx>
    <mdx n="0" f="v">
      <t c="4" fi="0">
        <n x="19"/>
        <n x="13"/>
        <n x="3"/>
        <n x="57" s="1"/>
      </t>
    </mdx>
    <mdx n="0" f="v">
      <t c="3" fi="0">
        <n x="19"/>
        <n x="5"/>
        <n x="57" s="1"/>
      </t>
    </mdx>
    <mdx n="0" f="v">
      <t c="3" fi="0">
        <n x="19"/>
        <n x="3"/>
        <n x="57" s="1"/>
      </t>
    </mdx>
    <mdx n="0" f="v">
      <t c="4" fi="0">
        <n x="20"/>
        <n x="7"/>
        <n x="3"/>
        <n x="57" s="1"/>
      </t>
    </mdx>
    <mdx n="0" f="v">
      <t c="3" fi="0">
        <n x="20"/>
        <n x="5"/>
        <n x="57" s="1"/>
      </t>
    </mdx>
    <mdx n="0" f="v">
      <t c="3" fi="0">
        <n x="20"/>
        <n x="3"/>
        <n x="57" s="1"/>
      </t>
    </mdx>
    <mdx n="0" f="v">
      <t c="4" fi="0">
        <n x="21"/>
        <n x="11"/>
        <n x="3"/>
        <n x="57" s="1"/>
      </t>
    </mdx>
    <mdx n="0" f="v">
      <t c="3" fi="0">
        <n x="21"/>
        <n x="5"/>
        <n x="57" s="1"/>
      </t>
    </mdx>
    <mdx n="0" f="v">
      <t c="3" fi="0">
        <n x="21"/>
        <n x="3"/>
        <n x="57" s="1"/>
      </t>
    </mdx>
    <mdx n="0" f="v">
      <t c="4" fi="0">
        <n x="22"/>
        <n x="13"/>
        <n x="3"/>
        <n x="57" s="1"/>
      </t>
    </mdx>
    <mdx n="0" f="v">
      <t c="3" fi="0">
        <n x="22"/>
        <n x="5"/>
        <n x="57" s="1"/>
      </t>
    </mdx>
    <mdx n="0" f="v">
      <t c="3" fi="0">
        <n x="22"/>
        <n x="3"/>
        <n x="57" s="1"/>
      </t>
    </mdx>
    <mdx n="0" f="v">
      <t c="4" fi="0">
        <n x="23"/>
        <n x="2"/>
        <n x="3"/>
        <n x="57" s="1"/>
      </t>
    </mdx>
    <mdx n="0" f="v">
      <t c="3" fi="0">
        <n x="23"/>
        <n x="5"/>
        <n x="57" s="1"/>
      </t>
    </mdx>
    <mdx n="0" f="v">
      <t c="3" fi="0">
        <n x="23"/>
        <n x="3"/>
        <n x="57" s="1"/>
      </t>
    </mdx>
    <mdx n="0" f="v">
      <t c="4" fi="0">
        <n x="24"/>
        <n x="15"/>
        <n x="3"/>
        <n x="57" s="1"/>
      </t>
    </mdx>
    <mdx n="0" f="v">
      <t c="3" fi="0">
        <n x="24"/>
        <n x="5"/>
        <n x="57" s="1"/>
      </t>
    </mdx>
    <mdx n="0" f="v">
      <t c="3" fi="0">
        <n x="24"/>
        <n x="3"/>
        <n x="57" s="1"/>
      </t>
    </mdx>
    <mdx n="0" f="v">
      <t c="4" fi="0">
        <n x="25"/>
        <n x="7"/>
        <n x="3"/>
        <n x="57" s="1"/>
      </t>
    </mdx>
    <mdx n="0" f="v">
      <t c="3" fi="0">
        <n x="25"/>
        <n x="5"/>
        <n x="57" s="1"/>
      </t>
    </mdx>
    <mdx n="0" f="v">
      <t c="3" fi="0">
        <n x="25"/>
        <n x="3"/>
        <n x="57" s="1"/>
      </t>
    </mdx>
    <mdx n="0" f="v">
      <t c="4" fi="0">
        <n x="26"/>
        <n x="7"/>
        <n x="3"/>
        <n x="57" s="1"/>
      </t>
    </mdx>
    <mdx n="0" f="v">
      <t c="3" fi="0">
        <n x="26"/>
        <n x="5"/>
        <n x="57" s="1"/>
      </t>
    </mdx>
    <mdx n="0" f="v">
      <t c="3" fi="0">
        <n x="26"/>
        <n x="3"/>
        <n x="57" s="1"/>
      </t>
    </mdx>
    <mdx n="0" f="v">
      <t c="4" fi="0">
        <n x="27"/>
        <n x="11"/>
        <n x="3"/>
        <n x="57" s="1"/>
      </t>
    </mdx>
    <mdx n="0" f="v">
      <t c="3" fi="0">
        <n x="27"/>
        <n x="5"/>
        <n x="57" s="1"/>
      </t>
    </mdx>
    <mdx n="0" f="v">
      <t c="3" fi="0">
        <n x="27"/>
        <n x="3"/>
        <n x="57" s="1"/>
      </t>
    </mdx>
    <mdx n="0" f="v">
      <t c="4" fi="0">
        <n x="28"/>
        <n x="11"/>
        <n x="3"/>
        <n x="57" s="1"/>
      </t>
    </mdx>
    <mdx n="0" f="v">
      <t c="3" fi="0">
        <n x="28"/>
        <n x="5"/>
        <n x="57" s="1"/>
      </t>
    </mdx>
    <mdx n="0" f="v">
      <t c="3" fi="0">
        <n x="28"/>
        <n x="3"/>
        <n x="57" s="1"/>
      </t>
    </mdx>
    <mdx n="0" f="v">
      <t c="4" fi="0">
        <n x="29"/>
        <n x="9"/>
        <n x="3"/>
        <n x="57" s="1"/>
      </t>
    </mdx>
    <mdx n="0" f="v">
      <t c="3" fi="0">
        <n x="29"/>
        <n x="5"/>
        <n x="57" s="1"/>
      </t>
    </mdx>
    <mdx n="0" f="v">
      <t c="3" fi="0">
        <n x="29"/>
        <n x="3"/>
        <n x="57" s="1"/>
      </t>
    </mdx>
    <mdx n="0" f="v">
      <t c="4" fi="0">
        <n x="30"/>
        <n x="37"/>
        <n x="3"/>
        <n x="57" s="1"/>
      </t>
    </mdx>
    <mdx n="0" f="v">
      <t c="3" fi="0">
        <n x="30"/>
        <n x="5"/>
        <n x="57" s="1"/>
      </t>
    </mdx>
    <mdx n="0" f="v">
      <t c="3" fi="0">
        <n x="30"/>
        <n x="3"/>
        <n x="57" s="1"/>
      </t>
    </mdx>
    <mdx n="0" f="v">
      <t c="4" fi="0">
        <n x="31"/>
        <n x="2"/>
        <n x="3"/>
        <n x="57" s="1"/>
      </t>
    </mdx>
    <mdx n="0" f="v">
      <t c="3" fi="0">
        <n x="31"/>
        <n x="5"/>
        <n x="57" s="1"/>
      </t>
    </mdx>
    <mdx n="0" f="v">
      <t c="3" fi="0">
        <n x="31"/>
        <n x="3"/>
        <n x="57" s="1"/>
      </t>
    </mdx>
    <mdx n="0" f="v">
      <t c="4" fi="0">
        <n x="32"/>
        <n x="9"/>
        <n x="3"/>
        <n x="57" s="1"/>
      </t>
    </mdx>
    <mdx n="0" f="v">
      <t c="3" fi="0">
        <n x="32"/>
        <n x="5"/>
        <n x="57" s="1"/>
      </t>
    </mdx>
    <mdx n="0" f="v">
      <t c="3" fi="0">
        <n x="32"/>
        <n x="3"/>
        <n x="57" s="1"/>
      </t>
    </mdx>
    <mdx n="0" f="v">
      <t c="4" fi="0">
        <n x="33"/>
        <n x="2"/>
        <n x="3"/>
        <n x="57" s="1"/>
      </t>
    </mdx>
    <mdx n="0" f="v">
      <t c="3" fi="0">
        <n x="33"/>
        <n x="5"/>
        <n x="57" s="1"/>
      </t>
    </mdx>
    <mdx n="0" f="v">
      <t c="3" fi="0">
        <n x="33"/>
        <n x="3"/>
        <n x="57" s="1"/>
      </t>
    </mdx>
    <mdx n="0" f="v">
      <t c="4" fi="0">
        <n x="34"/>
        <n x="13"/>
        <n x="3"/>
        <n x="57" s="1"/>
      </t>
    </mdx>
    <mdx n="0" f="v">
      <t c="3" fi="0">
        <n x="34"/>
        <n x="5"/>
        <n x="57" s="1"/>
      </t>
    </mdx>
    <mdx n="0" f="v">
      <t c="3" fi="0">
        <n x="34"/>
        <n x="3"/>
        <n x="57" s="1"/>
      </t>
    </mdx>
    <mdx n="0" f="v">
      <t c="4" fi="0">
        <n x="35"/>
        <n x="15"/>
        <n x="3"/>
        <n x="57" s="1"/>
      </t>
    </mdx>
    <mdx n="0" f="v">
      <t c="3" fi="0">
        <n x="35"/>
        <n x="5"/>
        <n x="57" s="1"/>
      </t>
    </mdx>
    <mdx n="0" f="v">
      <t c="3" fi="0">
        <n x="35"/>
        <n x="3"/>
        <n x="57" s="1"/>
      </t>
    </mdx>
    <mdx n="0" f="v">
      <t c="4" fi="0">
        <n x="36"/>
        <n x="7"/>
        <n x="3"/>
        <n x="57" s="1"/>
      </t>
    </mdx>
    <mdx n="0" f="v">
      <t c="3" fi="0">
        <n x="36"/>
        <n x="5"/>
        <n x="57" s="1"/>
      </t>
    </mdx>
    <mdx n="0" f="v">
      <t c="3" fi="0">
        <n x="36"/>
        <n x="3"/>
        <n x="57" s="1"/>
      </t>
    </mdx>
    <mdx n="0" f="r">
      <t c="2">
        <n x="58"/>
        <n x="43"/>
      </t>
    </mdx>
    <mdx n="0" f="r">
      <t c="2">
        <n x="58"/>
        <n x="59"/>
      </t>
    </mdx>
    <mdx n="0" f="v">
      <t c="4" fi="0">
        <n x="1"/>
        <n x="13"/>
        <n x="3"/>
        <n x="60" s="1"/>
      </t>
    </mdx>
    <mdx n="0" f="v">
      <t c="3" fi="0">
        <n x="1"/>
        <n x="5"/>
        <n x="60" s="1"/>
      </t>
    </mdx>
    <mdx n="0" f="v">
      <t c="3" fi="0">
        <n x="1"/>
        <n x="3"/>
        <n x="60" s="1"/>
      </t>
    </mdx>
    <mdx n="0" f="v">
      <t c="4" fi="0">
        <n x="6"/>
        <n x="2"/>
        <n x="3"/>
        <n x="60" s="1"/>
      </t>
    </mdx>
    <mdx n="0" f="v">
      <t c="3" fi="0">
        <n x="6"/>
        <n x="5"/>
        <n x="60" s="1"/>
      </t>
    </mdx>
    <mdx n="0" f="v">
      <t c="3" fi="0">
        <n x="6"/>
        <n x="3"/>
        <n x="60" s="1"/>
      </t>
    </mdx>
    <mdx n="0" f="v">
      <t c="4" fi="0">
        <n x="8"/>
        <n x="7"/>
        <n x="3"/>
        <n x="60" s="1"/>
      </t>
    </mdx>
    <mdx n="0" f="v">
      <t c="3" fi="0">
        <n x="8"/>
        <n x="5"/>
        <n x="60" s="1"/>
      </t>
    </mdx>
    <mdx n="0" f="v">
      <t c="3" fi="0">
        <n x="8"/>
        <n x="3"/>
        <n x="60" s="1"/>
      </t>
    </mdx>
    <mdx n="0" f="v">
      <t c="4" fi="0">
        <n x="10"/>
        <n x="13"/>
        <n x="3"/>
        <n x="60" s="1"/>
      </t>
    </mdx>
    <mdx n="0" f="v">
      <t c="3" fi="0">
        <n x="10"/>
        <n x="5"/>
        <n x="60" s="1"/>
      </t>
    </mdx>
    <mdx n="0" f="v">
      <t c="3" fi="0">
        <n x="10"/>
        <n x="3"/>
        <n x="60" s="1"/>
      </t>
    </mdx>
    <mdx n="0" f="v">
      <t c="4" fi="0">
        <n x="12"/>
        <n x="13"/>
        <n x="3"/>
        <n x="60" s="1"/>
      </t>
    </mdx>
    <mdx n="0" f="v">
      <t c="3" fi="0">
        <n x="12"/>
        <n x="5"/>
        <n x="60" s="1"/>
      </t>
    </mdx>
    <mdx n="0" f="v">
      <t c="3" fi="0">
        <n x="12"/>
        <n x="3"/>
        <n x="60" s="1"/>
      </t>
    </mdx>
    <mdx n="0" f="v">
      <t c="4" fi="0">
        <n x="14"/>
        <n x="9"/>
        <n x="3"/>
        <n x="60" s="1"/>
      </t>
    </mdx>
    <mdx n="0" f="v">
      <t c="3" fi="0">
        <n x="14"/>
        <n x="5"/>
        <n x="60" s="1"/>
      </t>
    </mdx>
    <mdx n="0" f="v">
      <t c="3" fi="0">
        <n x="14"/>
        <n x="3"/>
        <n x="60" s="1"/>
      </t>
    </mdx>
    <mdx n="0" f="v">
      <t c="4" fi="0">
        <n x="16"/>
        <n x="2"/>
        <n x="3"/>
        <n x="60" s="1"/>
      </t>
    </mdx>
    <mdx n="0" f="v">
      <t c="3" fi="0">
        <n x="16"/>
        <n x="5"/>
        <n x="60" s="1"/>
      </t>
    </mdx>
    <mdx n="0" f="v">
      <t c="3" fi="0">
        <n x="16"/>
        <n x="3"/>
        <n x="60" s="1"/>
      </t>
    </mdx>
    <mdx n="0" f="v">
      <t c="4" fi="0">
        <n x="17"/>
        <n x="9"/>
        <n x="3"/>
        <n x="60" s="1"/>
      </t>
    </mdx>
    <mdx n="0" f="v">
      <t c="3" fi="0">
        <n x="17"/>
        <n x="5"/>
        <n x="60" s="1"/>
      </t>
    </mdx>
    <mdx n="0" f="v">
      <t c="3" fi="0">
        <n x="17"/>
        <n x="3"/>
        <n x="60" s="1"/>
      </t>
    </mdx>
    <mdx n="0" f="v">
      <t c="4" fi="0">
        <n x="18"/>
        <n x="13"/>
        <n x="3"/>
        <n x="60" s="1"/>
      </t>
    </mdx>
    <mdx n="0" f="v">
      <t c="3" fi="0">
        <n x="18"/>
        <n x="5"/>
        <n x="60" s="1"/>
      </t>
    </mdx>
    <mdx n="0" f="v">
      <t c="3" fi="0">
        <n x="18"/>
        <n x="3"/>
        <n x="60" s="1"/>
      </t>
    </mdx>
    <mdx n="0" f="v">
      <t c="4" fi="0">
        <n x="19"/>
        <n x="7"/>
        <n x="3"/>
        <n x="60" s="1"/>
      </t>
    </mdx>
    <mdx n="0" f="v">
      <t c="3" fi="0">
        <n x="19"/>
        <n x="5"/>
        <n x="60" s="1"/>
      </t>
    </mdx>
    <mdx n="0" f="v">
      <t c="3" fi="0">
        <n x="19"/>
        <n x="3"/>
        <n x="60" s="1"/>
      </t>
    </mdx>
    <mdx n="0" f="v">
      <t c="4" fi="0">
        <n x="20"/>
        <n x="7"/>
        <n x="3"/>
        <n x="60" s="1"/>
      </t>
    </mdx>
    <mdx n="0" f="v">
      <t c="3" fi="0">
        <n x="20"/>
        <n x="5"/>
        <n x="60" s="1"/>
      </t>
    </mdx>
    <mdx n="0" f="v">
      <t c="3" fi="0">
        <n x="20"/>
        <n x="3"/>
        <n x="60" s="1"/>
      </t>
    </mdx>
    <mdx n="0" f="v">
      <t c="4" fi="0">
        <n x="21"/>
        <n x="7"/>
        <n x="3"/>
        <n x="60" s="1"/>
      </t>
    </mdx>
    <mdx n="0" f="v">
      <t c="3" fi="0">
        <n x="21"/>
        <n x="5"/>
        <n x="60" s="1"/>
      </t>
    </mdx>
    <mdx n="0" f="v">
      <t c="3" fi="0">
        <n x="21"/>
        <n x="3"/>
        <n x="60" s="1"/>
      </t>
    </mdx>
    <mdx n="0" f="v">
      <t c="4" fi="0">
        <n x="22"/>
        <n x="2"/>
        <n x="3"/>
        <n x="60" s="1"/>
      </t>
    </mdx>
    <mdx n="0" f="v">
      <t c="3" fi="0">
        <n x="22"/>
        <n x="5"/>
        <n x="60" s="1"/>
      </t>
    </mdx>
    <mdx n="0" f="v">
      <t c="3" fi="0">
        <n x="22"/>
        <n x="3"/>
        <n x="60" s="1"/>
      </t>
    </mdx>
    <mdx n="0" f="v">
      <t c="4" fi="0">
        <n x="23"/>
        <n x="2"/>
        <n x="3"/>
        <n x="60" s="1"/>
      </t>
    </mdx>
    <mdx n="0" f="v">
      <t c="3" fi="0">
        <n x="23"/>
        <n x="5"/>
        <n x="60" s="1"/>
      </t>
    </mdx>
    <mdx n="0" f="v">
      <t c="3" fi="0">
        <n x="23"/>
        <n x="3"/>
        <n x="60" s="1"/>
      </t>
    </mdx>
    <mdx n="0" f="v">
      <t c="4" fi="0">
        <n x="24"/>
        <n x="2"/>
        <n x="3"/>
        <n x="60" s="1"/>
      </t>
    </mdx>
    <mdx n="0" f="v">
      <t c="3" fi="0">
        <n x="24"/>
        <n x="5"/>
        <n x="60" s="1"/>
      </t>
    </mdx>
    <mdx n="0" f="v">
      <t c="3" fi="0">
        <n x="24"/>
        <n x="3"/>
        <n x="60" s="1"/>
      </t>
    </mdx>
    <mdx n="0" f="v">
      <t c="4" fi="0">
        <n x="25"/>
        <n x="7"/>
        <n x="3"/>
        <n x="60" s="1"/>
      </t>
    </mdx>
    <mdx n="0" f="v">
      <t c="3" fi="0">
        <n x="25"/>
        <n x="5"/>
        <n x="60" s="1"/>
      </t>
    </mdx>
    <mdx n="0" f="v">
      <t c="3" fi="0">
        <n x="25"/>
        <n x="3"/>
        <n x="60" s="1"/>
      </t>
    </mdx>
    <mdx n="0" f="v">
      <t c="4" fi="0">
        <n x="26"/>
        <n x="7"/>
        <n x="3"/>
        <n x="60" s="1"/>
      </t>
    </mdx>
    <mdx n="0" f="v">
      <t c="3" fi="0">
        <n x="26"/>
        <n x="5"/>
        <n x="60" s="1"/>
      </t>
    </mdx>
    <mdx n="0" f="v">
      <t c="3" fi="0">
        <n x="26"/>
        <n x="3"/>
        <n x="60" s="1"/>
      </t>
    </mdx>
    <mdx n="0" f="v">
      <t c="4" fi="0">
        <n x="27"/>
        <n x="11"/>
        <n x="3"/>
        <n x="60" s="1"/>
      </t>
    </mdx>
    <mdx n="0" f="v">
      <t c="3" fi="0">
        <n x="27"/>
        <n x="5"/>
        <n x="60" s="1"/>
      </t>
    </mdx>
    <mdx n="0" f="v">
      <t c="3" fi="0">
        <n x="27"/>
        <n x="3"/>
        <n x="60" s="1"/>
      </t>
    </mdx>
    <mdx n="0" f="v">
      <t c="4" fi="0">
        <n x="28"/>
        <n x="11"/>
        <n x="3"/>
        <n x="60" s="1"/>
      </t>
    </mdx>
    <mdx n="0" f="v">
      <t c="3" fi="0">
        <n x="28"/>
        <n x="5"/>
        <n x="60" s="1"/>
      </t>
    </mdx>
    <mdx n="0" f="v">
      <t c="3" fi="0">
        <n x="28"/>
        <n x="3"/>
        <n x="60" s="1"/>
      </t>
    </mdx>
    <mdx n="0" f="v">
      <t c="4" fi="0">
        <n x="29"/>
        <n x="7"/>
        <n x="3"/>
        <n x="60" s="1"/>
      </t>
    </mdx>
    <mdx n="0" f="v">
      <t c="3" fi="0">
        <n x="29"/>
        <n x="5"/>
        <n x="60" s="1"/>
      </t>
    </mdx>
    <mdx n="0" f="v">
      <t c="3" fi="0">
        <n x="29"/>
        <n x="3"/>
        <n x="60" s="1"/>
      </t>
    </mdx>
    <mdx n="0" f="v">
      <t c="4" fi="0">
        <n x="30"/>
        <n x="7"/>
        <n x="3"/>
        <n x="60" s="1"/>
      </t>
    </mdx>
    <mdx n="0" f="v">
      <t c="3" fi="0">
        <n x="30"/>
        <n x="5"/>
        <n x="60" s="1"/>
      </t>
    </mdx>
    <mdx n="0" f="v">
      <t c="3" fi="0">
        <n x="30"/>
        <n x="3"/>
        <n x="60" s="1"/>
      </t>
    </mdx>
    <mdx n="0" f="v">
      <t c="4" fi="0">
        <n x="31"/>
        <n x="9"/>
        <n x="3"/>
        <n x="60" s="1"/>
      </t>
    </mdx>
    <mdx n="0" f="v">
      <t c="3" fi="0">
        <n x="31"/>
        <n x="5"/>
        <n x="60" s="1"/>
      </t>
    </mdx>
    <mdx n="0" f="v">
      <t c="3" fi="0">
        <n x="31"/>
        <n x="3"/>
        <n x="60" s="1"/>
      </t>
    </mdx>
    <mdx n="0" f="v">
      <t c="4" fi="0">
        <n x="32"/>
        <n x="9"/>
        <n x="3"/>
        <n x="60" s="1"/>
      </t>
    </mdx>
    <mdx n="0" f="v">
      <t c="3" fi="0">
        <n x="32"/>
        <n x="5"/>
        <n x="60" s="1"/>
      </t>
    </mdx>
    <mdx n="0" f="v">
      <t c="3" fi="0">
        <n x="32"/>
        <n x="3"/>
        <n x="60" s="1"/>
      </t>
    </mdx>
    <mdx n="0" f="v">
      <t c="4" fi="0">
        <n x="33"/>
        <n x="2"/>
        <n x="3"/>
        <n x="60" s="1"/>
      </t>
    </mdx>
    <mdx n="0" f="v">
      <t c="3" fi="0">
        <n x="33"/>
        <n x="5"/>
        <n x="60" s="1"/>
      </t>
    </mdx>
    <mdx n="0" f="v">
      <t c="3" fi="0">
        <n x="33"/>
        <n x="3"/>
        <n x="60" s="1"/>
      </t>
    </mdx>
    <mdx n="0" f="v">
      <t c="4" fi="0">
        <n x="34"/>
        <n x="2"/>
        <n x="3"/>
        <n x="60" s="1"/>
      </t>
    </mdx>
    <mdx n="0" f="v">
      <t c="3" fi="0">
        <n x="34"/>
        <n x="5"/>
        <n x="60" s="1"/>
      </t>
    </mdx>
    <mdx n="0" f="v">
      <t c="3" fi="0">
        <n x="34"/>
        <n x="3"/>
        <n x="60" s="1"/>
      </t>
    </mdx>
    <mdx n="0" f="v">
      <t c="4" fi="0">
        <n x="35"/>
        <n x="13"/>
        <n x="3"/>
        <n x="60" s="1"/>
      </t>
    </mdx>
    <mdx n="0" f="v">
      <t c="3" fi="0">
        <n x="35"/>
        <n x="5"/>
        <n x="60" s="1"/>
      </t>
    </mdx>
    <mdx n="0" f="v">
      <t c="3" fi="0">
        <n x="35"/>
        <n x="3"/>
        <n x="60" s="1"/>
      </t>
    </mdx>
    <mdx n="0" f="v">
      <t c="4" fi="0">
        <n x="36"/>
        <n x="13"/>
        <n x="3"/>
        <n x="60" s="1"/>
      </t>
    </mdx>
    <mdx n="0" f="v">
      <t c="3" fi="0">
        <n x="36"/>
        <n x="5"/>
        <n x="60" s="1"/>
      </t>
    </mdx>
    <mdx n="0" f="v">
      <t c="3" fi="0">
        <n x="36"/>
        <n x="3"/>
        <n x="60" s="1"/>
      </t>
    </mdx>
    <mdx n="0" f="r">
      <t c="2">
        <n x="61"/>
        <n x="43"/>
      </t>
    </mdx>
    <mdx n="0" f="r">
      <t c="2">
        <n x="61"/>
        <n x="62"/>
      </t>
    </mdx>
    <mdx n="0" f="v">
      <t c="4" fi="0">
        <n x="1"/>
        <n x="15"/>
        <n x="3"/>
        <n x="63" s="1"/>
      </t>
    </mdx>
    <mdx n="0" f="v">
      <t c="3" fi="0">
        <n x="1"/>
        <n x="5"/>
        <n x="63" s="1"/>
      </t>
    </mdx>
    <mdx n="0" f="v">
      <t c="3" fi="0">
        <n x="1"/>
        <n x="3"/>
        <n x="63" s="1"/>
      </t>
    </mdx>
    <mdx n="0" f="v">
      <t c="4" fi="0">
        <n x="6"/>
        <n x="13"/>
        <n x="3"/>
        <n x="63" s="1"/>
      </t>
    </mdx>
    <mdx n="0" f="v">
      <t c="3" fi="0">
        <n x="6"/>
        <n x="5"/>
        <n x="63" s="1"/>
      </t>
    </mdx>
    <mdx n="0" f="v">
      <t c="3" fi="0">
        <n x="6"/>
        <n x="3"/>
        <n x="63" s="1"/>
      </t>
    </mdx>
    <mdx n="0" f="v">
      <t c="4" fi="0">
        <n x="8"/>
        <n x="13"/>
        <n x="3"/>
        <n x="63" s="1"/>
      </t>
    </mdx>
    <mdx n="0" f="v">
      <t c="3" fi="0">
        <n x="8"/>
        <n x="5"/>
        <n x="63" s="1"/>
      </t>
    </mdx>
    <mdx n="0" f="v">
      <t c="3" fi="0">
        <n x="8"/>
        <n x="3"/>
        <n x="63" s="1"/>
      </t>
    </mdx>
    <mdx n="0" f="v">
      <t c="4" fi="0">
        <n x="10"/>
        <n x="13"/>
        <n x="3"/>
        <n x="63" s="1"/>
      </t>
    </mdx>
    <mdx n="0" f="v">
      <t c="3" fi="0">
        <n x="10"/>
        <n x="5"/>
        <n x="63" s="1"/>
      </t>
    </mdx>
    <mdx n="0" f="v">
      <t c="3" fi="0">
        <n x="10"/>
        <n x="3"/>
        <n x="63" s="1"/>
      </t>
    </mdx>
    <mdx n="0" f="v">
      <t c="4" fi="0">
        <n x="12"/>
        <n x="13"/>
        <n x="3"/>
        <n x="63" s="1"/>
      </t>
    </mdx>
    <mdx n="0" f="v">
      <t c="3" fi="0">
        <n x="12"/>
        <n x="5"/>
        <n x="63" s="1"/>
      </t>
    </mdx>
    <mdx n="0" f="v">
      <t c="3" fi="0">
        <n x="12"/>
        <n x="3"/>
        <n x="63" s="1"/>
      </t>
    </mdx>
    <mdx n="0" f="v">
      <t c="4" fi="0">
        <n x="14"/>
        <n x="2"/>
        <n x="3"/>
        <n x="63" s="1"/>
      </t>
    </mdx>
    <mdx n="0" f="v">
      <t c="3" fi="0">
        <n x="14"/>
        <n x="5"/>
        <n x="63" s="1"/>
      </t>
    </mdx>
    <mdx n="0" f="v">
      <t c="3" fi="0">
        <n x="14"/>
        <n x="3"/>
        <n x="63" s="1"/>
      </t>
    </mdx>
    <mdx n="0" f="v">
      <t c="4" fi="0">
        <n x="16"/>
        <n x="9"/>
        <n x="3"/>
        <n x="63" s="1"/>
      </t>
    </mdx>
    <mdx n="0" f="v">
      <t c="3" fi="0">
        <n x="16"/>
        <n x="5"/>
        <n x="63" s="1"/>
      </t>
    </mdx>
    <mdx n="0" f="v">
      <t c="3" fi="0">
        <n x="16"/>
        <n x="3"/>
        <n x="63" s="1"/>
      </t>
    </mdx>
    <mdx n="0" f="v">
      <t c="4" fi="0">
        <n x="17"/>
        <n x="2"/>
        <n x="3"/>
        <n x="63" s="1"/>
      </t>
    </mdx>
    <mdx n="0" f="v">
      <t c="3" fi="0">
        <n x="17"/>
        <n x="5"/>
        <n x="63" s="1"/>
      </t>
    </mdx>
    <mdx n="0" f="v">
      <t c="3" fi="0">
        <n x="17"/>
        <n x="3"/>
        <n x="63" s="1"/>
      </t>
    </mdx>
    <mdx n="0" f="v">
      <t c="4" fi="0">
        <n x="18"/>
        <n x="13"/>
        <n x="3"/>
        <n x="63" s="1"/>
      </t>
    </mdx>
    <mdx n="0" f="v">
      <t c="3" fi="0">
        <n x="18"/>
        <n x="5"/>
        <n x="63" s="1"/>
      </t>
    </mdx>
    <mdx n="0" f="v">
      <t c="3" fi="0">
        <n x="18"/>
        <n x="3"/>
        <n x="63" s="1"/>
      </t>
    </mdx>
    <mdx n="0" f="v">
      <t c="4" fi="0">
        <n x="19"/>
        <n x="7"/>
        <n x="3"/>
        <n x="63" s="1"/>
      </t>
    </mdx>
    <mdx n="0" f="v">
      <t c="3" fi="0">
        <n x="19"/>
        <n x="5"/>
        <n x="63" s="1"/>
      </t>
    </mdx>
    <mdx n="0" f="v">
      <t c="3" fi="0">
        <n x="19"/>
        <n x="3"/>
        <n x="63" s="1"/>
      </t>
    </mdx>
    <mdx n="0" f="v">
      <t c="4" fi="0">
        <n x="20"/>
        <n x="13"/>
        <n x="3"/>
        <n x="63" s="1"/>
      </t>
    </mdx>
    <mdx n="0" f="v">
      <t c="3" fi="0">
        <n x="20"/>
        <n x="5"/>
        <n x="63" s="1"/>
      </t>
    </mdx>
    <mdx n="0" f="v">
      <t c="3" fi="0">
        <n x="20"/>
        <n x="3"/>
        <n x="63" s="1"/>
      </t>
    </mdx>
    <mdx n="0" f="v">
      <t c="4" fi="0">
        <n x="21"/>
        <n x="15"/>
        <n x="3"/>
        <n x="63" s="1"/>
      </t>
    </mdx>
    <mdx n="0" f="v">
      <t c="3" fi="0">
        <n x="21"/>
        <n x="5"/>
        <n x="63" s="1"/>
      </t>
    </mdx>
    <mdx n="0" f="v">
      <t c="3" fi="0">
        <n x="21"/>
        <n x="3"/>
        <n x="63" s="1"/>
      </t>
    </mdx>
    <mdx n="0" f="v">
      <t c="4" fi="0">
        <n x="22"/>
        <n x="2"/>
        <n x="3"/>
        <n x="63" s="1"/>
      </t>
    </mdx>
    <mdx n="0" f="v">
      <t c="3" fi="0">
        <n x="22"/>
        <n x="5"/>
        <n x="63" s="1"/>
      </t>
    </mdx>
    <mdx n="0" f="v">
      <t c="3" fi="0">
        <n x="22"/>
        <n x="3"/>
        <n x="63" s="1"/>
      </t>
    </mdx>
    <mdx n="0" f="v">
      <t c="4" fi="0">
        <n x="23"/>
        <n x="7"/>
        <n x="3"/>
        <n x="63" s="1"/>
      </t>
    </mdx>
    <mdx n="0" f="v">
      <t c="3" fi="0">
        <n x="23"/>
        <n x="5"/>
        <n x="63" s="1"/>
      </t>
    </mdx>
    <mdx n="0" f="v">
      <t c="3" fi="0">
        <n x="23"/>
        <n x="3"/>
        <n x="63" s="1"/>
      </t>
    </mdx>
    <mdx n="0" f="v">
      <t c="4" fi="0">
        <n x="24"/>
        <n x="13"/>
        <n x="3"/>
        <n x="63" s="1"/>
      </t>
    </mdx>
    <mdx n="0" f="v">
      <t c="3" fi="0">
        <n x="24"/>
        <n x="5"/>
        <n x="63" s="1"/>
      </t>
    </mdx>
    <mdx n="0" f="v">
      <t c="3" fi="0">
        <n x="24"/>
        <n x="3"/>
        <n x="63" s="1"/>
      </t>
    </mdx>
    <mdx n="0" f="v">
      <t c="4" fi="0">
        <n x="25"/>
        <n x="13"/>
        <n x="3"/>
        <n x="63" s="1"/>
      </t>
    </mdx>
    <mdx n="0" f="v">
      <t c="3" fi="0">
        <n x="25"/>
        <n x="5"/>
        <n x="63" s="1"/>
      </t>
    </mdx>
    <mdx n="0" f="v">
      <t c="3" fi="0">
        <n x="25"/>
        <n x="3"/>
        <n x="63" s="1"/>
      </t>
    </mdx>
    <mdx n="0" f="v">
      <t c="4" fi="0">
        <n x="26"/>
        <n x="13"/>
        <n x="3"/>
        <n x="63" s="1"/>
      </t>
    </mdx>
    <mdx n="0" f="v">
      <t c="3" fi="0">
        <n x="26"/>
        <n x="5"/>
        <n x="63" s="1"/>
      </t>
    </mdx>
    <mdx n="0" f="v">
      <t c="3" fi="0">
        <n x="26"/>
        <n x="3"/>
        <n x="63" s="1"/>
      </t>
    </mdx>
    <mdx n="0" f="v">
      <t c="4" fi="0">
        <n x="27"/>
        <n x="11"/>
        <n x="3"/>
        <n x="63" s="1"/>
      </t>
    </mdx>
    <mdx n="0" f="v">
      <t c="3" fi="0">
        <n x="27"/>
        <n x="5"/>
        <n x="63" s="1"/>
      </t>
    </mdx>
    <mdx n="0" f="v">
      <t c="3" fi="0">
        <n x="27"/>
        <n x="3"/>
        <n x="63" s="1"/>
      </t>
    </mdx>
    <mdx n="0" f="v">
      <t c="4" fi="0">
        <n x="28"/>
        <n x="11"/>
        <n x="3"/>
        <n x="63" s="1"/>
      </t>
    </mdx>
    <mdx n="0" f="v">
      <t c="3" fi="0">
        <n x="28"/>
        <n x="5"/>
        <n x="63" s="1"/>
      </t>
    </mdx>
    <mdx n="0" f="v">
      <t c="3" fi="0">
        <n x="28"/>
        <n x="3"/>
        <n x="63" s="1"/>
      </t>
    </mdx>
    <mdx n="0" f="v">
      <t c="4" fi="0">
        <n x="29"/>
        <n x="2"/>
        <n x="3"/>
        <n x="63" s="1"/>
      </t>
    </mdx>
    <mdx n="0" f="v">
      <t c="3" fi="0">
        <n x="29"/>
        <n x="5"/>
        <n x="63" s="1"/>
      </t>
    </mdx>
    <mdx n="0" f="v">
      <t c="3" fi="0">
        <n x="29"/>
        <n x="3"/>
        <n x="63" s="1"/>
      </t>
    </mdx>
    <mdx n="0" f="v">
      <t c="4" fi="0">
        <n x="30"/>
        <n x="9"/>
        <n x="3"/>
        <n x="63" s="1"/>
      </t>
    </mdx>
    <mdx n="0" f="v">
      <t c="3" fi="0">
        <n x="30"/>
        <n x="5"/>
        <n x="63" s="1"/>
      </t>
    </mdx>
    <mdx n="0" f="v">
      <t c="3" fi="0">
        <n x="30"/>
        <n x="3"/>
        <n x="63" s="1"/>
      </t>
    </mdx>
    <mdx n="0" f="v">
      <t c="4" fi="0">
        <n x="31"/>
        <n x="2"/>
        <n x="3"/>
        <n x="63" s="1"/>
      </t>
    </mdx>
    <mdx n="0" f="v">
      <t c="3" fi="0">
        <n x="31"/>
        <n x="5"/>
        <n x="63" s="1"/>
      </t>
    </mdx>
    <mdx n="0" f="v">
      <t c="3" fi="0">
        <n x="31"/>
        <n x="3"/>
        <n x="63" s="1"/>
      </t>
    </mdx>
    <mdx n="0" f="v">
      <t c="4" fi="0">
        <n x="32"/>
        <n x="37"/>
        <n x="3"/>
        <n x="63" s="1"/>
      </t>
    </mdx>
    <mdx n="0" f="v">
      <t c="3" fi="0">
        <n x="32"/>
        <n x="5"/>
        <n x="63" s="1"/>
      </t>
    </mdx>
    <mdx n="0" f="v">
      <t c="3" fi="0">
        <n x="32"/>
        <n x="3"/>
        <n x="63" s="1"/>
      </t>
    </mdx>
    <mdx n="0" f="v">
      <t c="4" fi="0">
        <n x="33"/>
        <n x="13"/>
        <n x="3"/>
        <n x="63" s="1"/>
      </t>
    </mdx>
    <mdx n="0" f="v">
      <t c="3" fi="0">
        <n x="33"/>
        <n x="5"/>
        <n x="63" s="1"/>
      </t>
    </mdx>
    <mdx n="0" f="v">
      <t c="3" fi="0">
        <n x="33"/>
        <n x="3"/>
        <n x="63" s="1"/>
      </t>
    </mdx>
    <mdx n="0" f="v">
      <t c="4" fi="0">
        <n x="34"/>
        <n x="13"/>
        <n x="3"/>
        <n x="63" s="1"/>
      </t>
    </mdx>
    <mdx n="0" f="v">
      <t c="3" fi="0">
        <n x="34"/>
        <n x="5"/>
        <n x="63" s="1"/>
      </t>
    </mdx>
    <mdx n="0" f="v">
      <t c="3" fi="0">
        <n x="34"/>
        <n x="3"/>
        <n x="63" s="1"/>
      </t>
    </mdx>
    <mdx n="0" f="v">
      <t c="4" fi="0">
        <n x="35"/>
        <n x="13"/>
        <n x="3"/>
        <n x="63" s="1"/>
      </t>
    </mdx>
    <mdx n="0" f="v">
      <t c="3" fi="0">
        <n x="35"/>
        <n x="5"/>
        <n x="63" s="1"/>
      </t>
    </mdx>
    <mdx n="0" f="v">
      <t c="3" fi="0">
        <n x="35"/>
        <n x="3"/>
        <n x="63" s="1"/>
      </t>
    </mdx>
    <mdx n="0" f="v">
      <t c="4" fi="0">
        <n x="36"/>
        <n x="2"/>
        <n x="3"/>
        <n x="63" s="1"/>
      </t>
    </mdx>
    <mdx n="0" f="v">
      <t c="3" fi="0">
        <n x="36"/>
        <n x="5"/>
        <n x="63" s="1"/>
      </t>
    </mdx>
    <mdx n="0" f="v">
      <t c="3" fi="0">
        <n x="36"/>
        <n x="3"/>
        <n x="63" s="1"/>
      </t>
    </mdx>
    <mdx n="0" f="r">
      <t c="2">
        <n x="64"/>
        <n x="43"/>
      </t>
    </mdx>
    <mdx n="0" f="r">
      <t c="2">
        <n x="64"/>
        <n x="65"/>
      </t>
    </mdx>
    <mdx n="0" f="v">
      <t c="4" fi="0">
        <n x="1"/>
        <n x="7"/>
        <n x="3"/>
        <n x="66" s="1"/>
      </t>
    </mdx>
    <mdx n="0" f="v">
      <t c="3" fi="0">
        <n x="1"/>
        <n x="5"/>
        <n x="66" s="1"/>
      </t>
    </mdx>
    <mdx n="0" f="v">
      <t c="3" fi="0">
        <n x="1"/>
        <n x="3"/>
        <n x="66" s="1"/>
      </t>
    </mdx>
    <mdx n="0" f="v">
      <t c="4" fi="0">
        <n x="6"/>
        <n x="13"/>
        <n x="3"/>
        <n x="66" s="1"/>
      </t>
    </mdx>
    <mdx n="0" f="v">
      <t c="3" fi="0">
        <n x="6"/>
        <n x="5"/>
        <n x="66" s="1"/>
      </t>
    </mdx>
    <mdx n="0" f="v">
      <t c="3" fi="0">
        <n x="6"/>
        <n x="3"/>
        <n x="66" s="1"/>
      </t>
    </mdx>
    <mdx n="0" f="v">
      <t c="4" fi="0">
        <n x="8"/>
        <n x="7"/>
        <n x="3"/>
        <n x="66" s="1"/>
      </t>
    </mdx>
    <mdx n="0" f="v">
      <t c="3" fi="0">
        <n x="8"/>
        <n x="5"/>
        <n x="66" s="1"/>
      </t>
    </mdx>
    <mdx n="0" f="v">
      <t c="3" fi="0">
        <n x="8"/>
        <n x="3"/>
        <n x="66" s="1"/>
      </t>
    </mdx>
    <mdx n="0" f="v">
      <t c="4" fi="0">
        <n x="10"/>
        <n x="9"/>
        <n x="3"/>
        <n x="66" s="1"/>
      </t>
    </mdx>
    <mdx n="0" f="v">
      <t c="3" fi="0">
        <n x="10"/>
        <n x="5"/>
        <n x="66" s="1"/>
      </t>
    </mdx>
    <mdx n="0" f="v">
      <t c="3" fi="0">
        <n x="10"/>
        <n x="3"/>
        <n x="66" s="1"/>
      </t>
    </mdx>
    <mdx n="0" f="v">
      <t c="4" fi="0">
        <n x="12"/>
        <n x="13"/>
        <n x="3"/>
        <n x="66" s="1"/>
      </t>
    </mdx>
    <mdx n="0" f="v">
      <t c="3" fi="0">
        <n x="12"/>
        <n x="5"/>
        <n x="66" s="1"/>
      </t>
    </mdx>
    <mdx n="0" f="v">
      <t c="3" fi="0">
        <n x="12"/>
        <n x="3"/>
        <n x="66" s="1"/>
      </t>
    </mdx>
    <mdx n="0" f="v">
      <t c="4" fi="0">
        <n x="14"/>
        <n x="9"/>
        <n x="3"/>
        <n x="66" s="1"/>
      </t>
    </mdx>
    <mdx n="0" f="v">
      <t c="3" fi="0">
        <n x="14"/>
        <n x="5"/>
        <n x="66" s="1"/>
      </t>
    </mdx>
    <mdx n="0" f="v">
      <t c="3" fi="0">
        <n x="14"/>
        <n x="3"/>
        <n x="66" s="1"/>
      </t>
    </mdx>
    <mdx n="0" f="v">
      <t c="4" fi="0">
        <n x="16"/>
        <n x="7"/>
        <n x="3"/>
        <n x="66" s="1"/>
      </t>
    </mdx>
    <mdx n="0" f="v">
      <t c="3" fi="0">
        <n x="16"/>
        <n x="5"/>
        <n x="66" s="1"/>
      </t>
    </mdx>
    <mdx n="0" f="v">
      <t c="3" fi="0">
        <n x="16"/>
        <n x="3"/>
        <n x="66" s="1"/>
      </t>
    </mdx>
    <mdx n="0" f="v">
      <t c="4" fi="0">
        <n x="17"/>
        <n x="9"/>
        <n x="3"/>
        <n x="66" s="1"/>
      </t>
    </mdx>
    <mdx n="0" f="v">
      <t c="3" fi="0">
        <n x="17"/>
        <n x="5"/>
        <n x="66" s="1"/>
      </t>
    </mdx>
    <mdx n="0" f="v">
      <t c="3" fi="0">
        <n x="17"/>
        <n x="3"/>
        <n x="66" s="1"/>
      </t>
    </mdx>
    <mdx n="0" f="v">
      <t c="4" fi="0">
        <n x="18"/>
        <n x="13"/>
        <n x="3"/>
        <n x="66" s="1"/>
      </t>
    </mdx>
    <mdx n="0" f="v">
      <t c="3" fi="0">
        <n x="18"/>
        <n x="5"/>
        <n x="66" s="1"/>
      </t>
    </mdx>
    <mdx n="0" f="v">
      <t c="3" fi="0">
        <n x="18"/>
        <n x="3"/>
        <n x="66" s="1"/>
      </t>
    </mdx>
    <mdx n="0" f="v">
      <t c="4" fi="0">
        <n x="19"/>
        <n x="13"/>
        <n x="3"/>
        <n x="66" s="1"/>
      </t>
    </mdx>
    <mdx n="0" f="v">
      <t c="3" fi="0">
        <n x="19"/>
        <n x="5"/>
        <n x="66" s="1"/>
      </t>
    </mdx>
    <mdx n="0" f="v">
      <t c="3" fi="0">
        <n x="19"/>
        <n x="3"/>
        <n x="66" s="1"/>
      </t>
    </mdx>
    <mdx n="0" f="v">
      <t c="4" fi="0">
        <n x="20"/>
        <n x="9"/>
        <n x="3"/>
        <n x="66" s="1"/>
      </t>
    </mdx>
    <mdx n="0" f="v">
      <t c="3" fi="0">
        <n x="20"/>
        <n x="5"/>
        <n x="66" s="1"/>
      </t>
    </mdx>
    <mdx n="0" f="v">
      <t c="3" fi="0">
        <n x="20"/>
        <n x="3"/>
        <n x="66" s="1"/>
      </t>
    </mdx>
    <mdx n="0" f="v">
      <t c="4" fi="0">
        <n x="21"/>
        <n x="15"/>
        <n x="3"/>
        <n x="66" s="1"/>
      </t>
    </mdx>
    <mdx n="0" f="v">
      <t c="3" fi="0">
        <n x="21"/>
        <n x="5"/>
        <n x="66" s="1"/>
      </t>
    </mdx>
    <mdx n="0" f="v">
      <t c="3" fi="0">
        <n x="21"/>
        <n x="3"/>
        <n x="66" s="1"/>
      </t>
    </mdx>
    <mdx n="0" f="v">
      <t c="4" fi="0">
        <n x="22"/>
        <n x="13"/>
        <n x="3"/>
        <n x="66" s="1"/>
      </t>
    </mdx>
    <mdx n="0" f="v">
      <t c="3" fi="0">
        <n x="22"/>
        <n x="5"/>
        <n x="66" s="1"/>
      </t>
    </mdx>
    <mdx n="0" f="v">
      <t c="3" fi="0">
        <n x="22"/>
        <n x="3"/>
        <n x="66" s="1"/>
      </t>
    </mdx>
    <mdx n="0" f="v">
      <t c="4" fi="0">
        <n x="23"/>
        <n x="9"/>
        <n x="3"/>
        <n x="66" s="1"/>
      </t>
    </mdx>
    <mdx n="0" f="v">
      <t c="3" fi="0">
        <n x="23"/>
        <n x="5"/>
        <n x="66" s="1"/>
      </t>
    </mdx>
    <mdx n="0" f="v">
      <t c="3" fi="0">
        <n x="23"/>
        <n x="3"/>
        <n x="66" s="1"/>
      </t>
    </mdx>
    <mdx n="0" f="v">
      <t c="4" fi="0">
        <n x="24"/>
        <n x="2"/>
        <n x="3"/>
        <n x="66" s="1"/>
      </t>
    </mdx>
    <mdx n="0" f="v">
      <t c="3" fi="0">
        <n x="24"/>
        <n x="5"/>
        <n x="66" s="1"/>
      </t>
    </mdx>
    <mdx n="0" f="v">
      <t c="3" fi="0">
        <n x="24"/>
        <n x="3"/>
        <n x="66" s="1"/>
      </t>
    </mdx>
    <mdx n="0" f="v">
      <t c="4" fi="0">
        <n x="25"/>
        <n x="7"/>
        <n x="3"/>
        <n x="66" s="1"/>
      </t>
    </mdx>
    <mdx n="0" f="v">
      <t c="3" fi="0">
        <n x="25"/>
        <n x="5"/>
        <n x="66" s="1"/>
      </t>
    </mdx>
    <mdx n="0" f="v">
      <t c="3" fi="0">
        <n x="25"/>
        <n x="3"/>
        <n x="66" s="1"/>
      </t>
    </mdx>
    <mdx n="0" f="v">
      <t c="4" fi="0">
        <n x="26"/>
        <n x="7"/>
        <n x="3"/>
        <n x="66" s="1"/>
      </t>
    </mdx>
    <mdx n="0" f="v">
      <t c="3" fi="0">
        <n x="26"/>
        <n x="5"/>
        <n x="66" s="1"/>
      </t>
    </mdx>
    <mdx n="0" f="v">
      <t c="3" fi="0">
        <n x="26"/>
        <n x="3"/>
        <n x="66" s="1"/>
      </t>
    </mdx>
    <mdx n="0" f="v">
      <t c="4" fi="0">
        <n x="27"/>
        <n x="11"/>
        <n x="3"/>
        <n x="66" s="1"/>
      </t>
    </mdx>
    <mdx n="0" f="v">
      <t c="3" fi="0">
        <n x="27"/>
        <n x="5"/>
        <n x="66" s="1"/>
      </t>
    </mdx>
    <mdx n="0" f="v">
      <t c="3" fi="0">
        <n x="27"/>
        <n x="3"/>
        <n x="66" s="1"/>
      </t>
    </mdx>
    <mdx n="0" f="v">
      <t c="4" fi="0">
        <n x="28"/>
        <n x="11"/>
        <n x="3"/>
        <n x="66" s="1"/>
      </t>
    </mdx>
    <mdx n="0" f="v">
      <t c="3" fi="0">
        <n x="28"/>
        <n x="5"/>
        <n x="66" s="1"/>
      </t>
    </mdx>
    <mdx n="0" f="v">
      <t c="3" fi="0">
        <n x="28"/>
        <n x="3"/>
        <n x="66" s="1"/>
      </t>
    </mdx>
    <mdx n="0" f="v">
      <t c="4" fi="0">
        <n x="29"/>
        <n x="7"/>
        <n x="3"/>
        <n x="66" s="1"/>
      </t>
    </mdx>
    <mdx n="0" f="v">
      <t c="3" fi="0">
        <n x="29"/>
        <n x="5"/>
        <n x="66" s="1"/>
      </t>
    </mdx>
    <mdx n="0" f="v">
      <t c="3" fi="0">
        <n x="29"/>
        <n x="3"/>
        <n x="66" s="1"/>
      </t>
    </mdx>
    <mdx n="0" f="v">
      <t c="4" fi="0">
        <n x="30"/>
        <n x="13"/>
        <n x="3"/>
        <n x="66" s="1"/>
      </t>
    </mdx>
    <mdx n="0" f="v">
      <t c="3" fi="0">
        <n x="30"/>
        <n x="5"/>
        <n x="66" s="1"/>
      </t>
    </mdx>
    <mdx n="0" f="v">
      <t c="3" fi="0">
        <n x="30"/>
        <n x="3"/>
        <n x="66" s="1"/>
      </t>
    </mdx>
    <mdx n="0" f="v">
      <t c="4" fi="0">
        <n x="31"/>
        <n x="13"/>
        <n x="3"/>
        <n x="66" s="1"/>
      </t>
    </mdx>
    <mdx n="0" f="v">
      <t c="3" fi="0">
        <n x="31"/>
        <n x="5"/>
        <n x="66" s="1"/>
      </t>
    </mdx>
    <mdx n="0" f="v">
      <t c="3" fi="0">
        <n x="31"/>
        <n x="3"/>
        <n x="66" s="1"/>
      </t>
    </mdx>
    <mdx n="0" f="v">
      <t c="4" fi="0">
        <n x="32"/>
        <n x="7"/>
        <n x="3"/>
        <n x="66" s="1"/>
      </t>
    </mdx>
    <mdx n="0" f="v">
      <t c="3" fi="0">
        <n x="32"/>
        <n x="5"/>
        <n x="66" s="1"/>
      </t>
    </mdx>
    <mdx n="0" f="v">
      <t c="3" fi="0">
        <n x="32"/>
        <n x="3"/>
        <n x="66" s="1"/>
      </t>
    </mdx>
    <mdx n="0" f="v">
      <t c="4" fi="0">
        <n x="33"/>
        <n x="13"/>
        <n x="3"/>
        <n x="66" s="1"/>
      </t>
    </mdx>
    <mdx n="0" f="v">
      <t c="3" fi="0">
        <n x="33"/>
        <n x="5"/>
        <n x="66" s="1"/>
      </t>
    </mdx>
    <mdx n="0" f="v">
      <t c="3" fi="0">
        <n x="33"/>
        <n x="3"/>
        <n x="66" s="1"/>
      </t>
    </mdx>
    <mdx n="0" f="v">
      <t c="4" fi="0">
        <n x="35"/>
        <n x="7"/>
        <n x="3"/>
        <n x="66" s="1"/>
      </t>
    </mdx>
    <mdx n="0" f="v">
      <t c="3" fi="0">
        <n x="35"/>
        <n x="5"/>
        <n x="66" s="1"/>
      </t>
    </mdx>
    <mdx n="0" f="v">
      <t c="3" fi="0">
        <n x="35"/>
        <n x="3"/>
        <n x="66" s="1"/>
      </t>
    </mdx>
    <mdx n="0" f="v">
      <t c="4" fi="0">
        <n x="36"/>
        <n x="15"/>
        <n x="3"/>
        <n x="66" s="1"/>
      </t>
    </mdx>
    <mdx n="0" f="v">
      <t c="3" fi="0">
        <n x="36"/>
        <n x="5"/>
        <n x="66" s="1"/>
      </t>
    </mdx>
    <mdx n="0" f="v">
      <t c="3" fi="0">
        <n x="36"/>
        <n x="3"/>
        <n x="66" s="1"/>
      </t>
    </mdx>
    <mdx n="0" f="r">
      <t c="2">
        <n x="67"/>
        <n x="43"/>
      </t>
    </mdx>
    <mdx n="0" f="r">
      <t c="2">
        <n x="67"/>
        <n x="68"/>
      </t>
    </mdx>
    <mdx n="0" f="v">
      <t c="4" fi="0">
        <n x="1"/>
        <n x="37"/>
        <n x="3"/>
        <n x="69" s="1"/>
      </t>
    </mdx>
    <mdx n="0" f="v">
      <t c="3" fi="0">
        <n x="1"/>
        <n x="5"/>
        <n x="69" s="1"/>
      </t>
    </mdx>
    <mdx n="0" f="v">
      <t c="3" fi="0">
        <n x="1"/>
        <n x="3"/>
        <n x="69" s="1"/>
      </t>
    </mdx>
    <mdx n="0" f="v">
      <t c="4" fi="0">
        <n x="6"/>
        <n x="9"/>
        <n x="3"/>
        <n x="69" s="1"/>
      </t>
    </mdx>
    <mdx n="0" f="v">
      <t c="3" fi="0">
        <n x="6"/>
        <n x="5"/>
        <n x="69" s="1"/>
      </t>
    </mdx>
    <mdx n="0" f="v">
      <t c="3" fi="0">
        <n x="6"/>
        <n x="3"/>
        <n x="69" s="1"/>
      </t>
    </mdx>
    <mdx n="0" f="v">
      <t c="4" fi="0">
        <n x="8"/>
        <n x="13"/>
        <n x="3"/>
        <n x="69" s="1"/>
      </t>
    </mdx>
    <mdx n="0" f="v">
      <t c="3" fi="0">
        <n x="8"/>
        <n x="5"/>
        <n x="69" s="1"/>
      </t>
    </mdx>
    <mdx n="0" f="v">
      <t c="3" fi="0">
        <n x="8"/>
        <n x="3"/>
        <n x="69" s="1"/>
      </t>
    </mdx>
    <mdx n="0" f="v">
      <t c="4" fi="0">
        <n x="10"/>
        <n x="11"/>
        <n x="3"/>
        <n x="69" s="1"/>
      </t>
    </mdx>
    <mdx n="0" f="v">
      <t c="3" fi="0">
        <n x="10"/>
        <n x="5"/>
        <n x="69" s="1"/>
      </t>
    </mdx>
    <mdx n="0" f="v">
      <t c="3" fi="0">
        <n x="10"/>
        <n x="3"/>
        <n x="69" s="1"/>
      </t>
    </mdx>
    <mdx n="0" f="v">
      <t c="4" fi="0">
        <n x="12"/>
        <n x="13"/>
        <n x="3"/>
        <n x="69" s="1"/>
      </t>
    </mdx>
    <mdx n="0" f="v">
      <t c="3" fi="0">
        <n x="12"/>
        <n x="5"/>
        <n x="69" s="1"/>
      </t>
    </mdx>
    <mdx n="0" f="v">
      <t c="3" fi="0">
        <n x="12"/>
        <n x="3"/>
        <n x="69" s="1"/>
      </t>
    </mdx>
    <mdx n="0" f="v">
      <t c="4" fi="0">
        <n x="14"/>
        <n x="2"/>
        <n x="3"/>
        <n x="69" s="1"/>
      </t>
    </mdx>
    <mdx n="0" f="v">
      <t c="3" fi="0">
        <n x="14"/>
        <n x="5"/>
        <n x="69" s="1"/>
      </t>
    </mdx>
    <mdx n="0" f="v">
      <t c="3" fi="0">
        <n x="14"/>
        <n x="3"/>
        <n x="69" s="1"/>
      </t>
    </mdx>
    <mdx n="0" f="v">
      <t c="4" fi="0">
        <n x="16"/>
        <n x="9"/>
        <n x="3"/>
        <n x="69" s="1"/>
      </t>
    </mdx>
    <mdx n="0" f="v">
      <t c="3" fi="0">
        <n x="16"/>
        <n x="5"/>
        <n x="69" s="1"/>
      </t>
    </mdx>
    <mdx n="0" f="v">
      <t c="3" fi="0">
        <n x="16"/>
        <n x="3"/>
        <n x="69" s="1"/>
      </t>
    </mdx>
    <mdx n="0" f="v">
      <t c="4" fi="0">
        <n x="17"/>
        <n x="13"/>
        <n x="3"/>
        <n x="69" s="1"/>
      </t>
    </mdx>
    <mdx n="0" f="v">
      <t c="3" fi="0">
        <n x="17"/>
        <n x="5"/>
        <n x="69" s="1"/>
      </t>
    </mdx>
    <mdx n="0" f="v">
      <t c="3" fi="0">
        <n x="17"/>
        <n x="3"/>
        <n x="69" s="1"/>
      </t>
    </mdx>
    <mdx n="0" f="v">
      <t c="4" fi="0">
        <n x="18"/>
        <n x="15"/>
        <n x="3"/>
        <n x="69" s="1"/>
      </t>
    </mdx>
    <mdx n="0" f="v">
      <t c="3" fi="0">
        <n x="18"/>
        <n x="5"/>
        <n x="69" s="1"/>
      </t>
    </mdx>
    <mdx n="0" f="v">
      <t c="3" fi="0">
        <n x="18"/>
        <n x="3"/>
        <n x="69" s="1"/>
      </t>
    </mdx>
    <mdx n="0" f="v">
      <t c="4" fi="0">
        <n x="19"/>
        <n x="7"/>
        <n x="3"/>
        <n x="69" s="1"/>
      </t>
    </mdx>
    <mdx n="0" f="v">
      <t c="3" fi="0">
        <n x="19"/>
        <n x="5"/>
        <n x="69" s="1"/>
      </t>
    </mdx>
    <mdx n="0" f="v">
      <t c="3" fi="0">
        <n x="19"/>
        <n x="3"/>
        <n x="69" s="1"/>
      </t>
    </mdx>
    <mdx n="0" f="v">
      <t c="4" fi="0">
        <n x="20"/>
        <n x="7"/>
        <n x="3"/>
        <n x="69" s="1"/>
      </t>
    </mdx>
    <mdx n="0" f="v">
      <t c="3" fi="0">
        <n x="20"/>
        <n x="5"/>
        <n x="69" s="1"/>
      </t>
    </mdx>
    <mdx n="0" f="v">
      <t c="3" fi="0">
        <n x="20"/>
        <n x="3"/>
        <n x="69" s="1"/>
      </t>
    </mdx>
    <mdx n="0" f="v">
      <t c="4" fi="0">
        <n x="21"/>
        <n x="2"/>
        <n x="3"/>
        <n x="69" s="1"/>
      </t>
    </mdx>
    <mdx n="0" f="v">
      <t c="3" fi="0">
        <n x="21"/>
        <n x="5"/>
        <n x="69" s="1"/>
      </t>
    </mdx>
    <mdx n="0" f="v">
      <t c="3" fi="0">
        <n x="21"/>
        <n x="3"/>
        <n x="69" s="1"/>
      </t>
    </mdx>
    <mdx n="0" f="v">
      <t c="4" fi="0">
        <n x="22"/>
        <n x="13"/>
        <n x="3"/>
        <n x="69" s="1"/>
      </t>
    </mdx>
    <mdx n="0" f="v">
      <t c="3" fi="0">
        <n x="22"/>
        <n x="5"/>
        <n x="69" s="1"/>
      </t>
    </mdx>
    <mdx n="0" f="v">
      <t c="3" fi="0">
        <n x="22"/>
        <n x="3"/>
        <n x="69" s="1"/>
      </t>
    </mdx>
    <mdx n="0" f="v">
      <t c="4" fi="0">
        <n x="23"/>
        <n x="7"/>
        <n x="3"/>
        <n x="69" s="1"/>
      </t>
    </mdx>
    <mdx n="0" f="v">
      <t c="3" fi="0">
        <n x="23"/>
        <n x="5"/>
        <n x="69" s="1"/>
      </t>
    </mdx>
    <mdx n="0" f="v">
      <t c="3" fi="0">
        <n x="23"/>
        <n x="3"/>
        <n x="69" s="1"/>
      </t>
    </mdx>
    <mdx n="0" f="v">
      <t c="4" fi="0">
        <n x="24"/>
        <n x="13"/>
        <n x="3"/>
        <n x="69" s="1"/>
      </t>
    </mdx>
    <mdx n="0" f="v">
      <t c="3" fi="0">
        <n x="24"/>
        <n x="5"/>
        <n x="69" s="1"/>
      </t>
    </mdx>
    <mdx n="0" f="v">
      <t c="3" fi="0">
        <n x="24"/>
        <n x="3"/>
        <n x="69" s="1"/>
      </t>
    </mdx>
    <mdx n="0" f="v">
      <t c="4" fi="0">
        <n x="25"/>
        <n x="13"/>
        <n x="3"/>
        <n x="69" s="1"/>
      </t>
    </mdx>
    <mdx n="0" f="v">
      <t c="3" fi="0">
        <n x="25"/>
        <n x="5"/>
        <n x="69" s="1"/>
      </t>
    </mdx>
    <mdx n="0" f="v">
      <t c="3" fi="0">
        <n x="25"/>
        <n x="3"/>
        <n x="69" s="1"/>
      </t>
    </mdx>
    <mdx n="0" f="v">
      <t c="4" fi="0">
        <n x="26"/>
        <n x="9"/>
        <n x="3"/>
        <n x="69" s="1"/>
      </t>
    </mdx>
    <mdx n="0" f="v">
      <t c="3" fi="0">
        <n x="26"/>
        <n x="5"/>
        <n x="69" s="1"/>
      </t>
    </mdx>
    <mdx n="0" f="v">
      <t c="3" fi="0">
        <n x="26"/>
        <n x="3"/>
        <n x="69" s="1"/>
      </t>
    </mdx>
    <mdx n="0" f="v">
      <t c="4" fi="0">
        <n x="27"/>
        <n x="15"/>
        <n x="3"/>
        <n x="69" s="1"/>
      </t>
    </mdx>
    <mdx n="0" f="v">
      <t c="3" fi="0">
        <n x="27"/>
        <n x="5"/>
        <n x="69" s="1"/>
      </t>
    </mdx>
    <mdx n="0" f="v">
      <t c="3" fi="0">
        <n x="27"/>
        <n x="3"/>
        <n x="69" s="1"/>
      </t>
    </mdx>
    <mdx n="0" f="v">
      <t c="4" fi="0">
        <n x="28"/>
        <n x="15"/>
        <n x="3"/>
        <n x="69" s="1"/>
      </t>
    </mdx>
    <mdx n="0" f="v">
      <t c="3" fi="0">
        <n x="28"/>
        <n x="5"/>
        <n x="69" s="1"/>
      </t>
    </mdx>
    <mdx n="0" f="v">
      <t c="3" fi="0">
        <n x="28"/>
        <n x="3"/>
        <n x="69" s="1"/>
      </t>
    </mdx>
    <mdx n="0" f="v">
      <t c="4" fi="0">
        <n x="29"/>
        <n x="7"/>
        <n x="3"/>
        <n x="69" s="1"/>
      </t>
    </mdx>
    <mdx n="0" f="v">
      <t c="3" fi="0">
        <n x="29"/>
        <n x="5"/>
        <n x="69" s="1"/>
      </t>
    </mdx>
    <mdx n="0" f="v">
      <t c="3" fi="0">
        <n x="29"/>
        <n x="3"/>
        <n x="69" s="1"/>
      </t>
    </mdx>
    <mdx n="0" f="v">
      <t c="4" fi="0">
        <n x="30"/>
        <n x="2"/>
        <n x="3"/>
        <n x="69" s="1"/>
      </t>
    </mdx>
    <mdx n="0" f="v">
      <t c="3" fi="0">
        <n x="30"/>
        <n x="5"/>
        <n x="69" s="1"/>
      </t>
    </mdx>
    <mdx n="0" f="v">
      <t c="3" fi="0">
        <n x="30"/>
        <n x="3"/>
        <n x="69" s="1"/>
      </t>
    </mdx>
    <mdx n="0" f="v">
      <t c="4" fi="0">
        <n x="31"/>
        <n x="13"/>
        <n x="3"/>
        <n x="69" s="1"/>
      </t>
    </mdx>
    <mdx n="0" f="v">
      <t c="3" fi="0">
        <n x="31"/>
        <n x="5"/>
        <n x="69" s="1"/>
      </t>
    </mdx>
    <mdx n="0" f="v">
      <t c="3" fi="0">
        <n x="31"/>
        <n x="3"/>
        <n x="69" s="1"/>
      </t>
    </mdx>
    <mdx n="0" f="v">
      <t c="4" fi="0">
        <n x="32"/>
        <n x="9"/>
        <n x="3"/>
        <n x="69" s="1"/>
      </t>
    </mdx>
    <mdx n="0" f="v">
      <t c="3" fi="0">
        <n x="32"/>
        <n x="5"/>
        <n x="69" s="1"/>
      </t>
    </mdx>
    <mdx n="0" f="v">
      <t c="3" fi="0">
        <n x="32"/>
        <n x="3"/>
        <n x="69" s="1"/>
      </t>
    </mdx>
    <mdx n="0" f="v">
      <t c="4" fi="0">
        <n x="33"/>
        <n x="2"/>
        <n x="3"/>
        <n x="69" s="1"/>
      </t>
    </mdx>
    <mdx n="0" f="v">
      <t c="3" fi="0">
        <n x="33"/>
        <n x="5"/>
        <n x="69" s="1"/>
      </t>
    </mdx>
    <mdx n="0" f="v">
      <t c="3" fi="0">
        <n x="33"/>
        <n x="3"/>
        <n x="69" s="1"/>
      </t>
    </mdx>
    <mdx n="0" f="v">
      <t c="4" fi="0">
        <n x="34"/>
        <n x="11"/>
        <n x="3"/>
        <n x="69" s="1"/>
      </t>
    </mdx>
    <mdx n="0" f="v">
      <t c="3" fi="0">
        <n x="34"/>
        <n x="5"/>
        <n x="69" s="1"/>
      </t>
    </mdx>
    <mdx n="0" f="v">
      <t c="3" fi="0">
        <n x="34"/>
        <n x="3"/>
        <n x="69" s="1"/>
      </t>
    </mdx>
    <mdx n="0" f="v">
      <t c="4" fi="0">
        <n x="35"/>
        <n x="13"/>
        <n x="3"/>
        <n x="69" s="1"/>
      </t>
    </mdx>
    <mdx n="0" f="v">
      <t c="3" fi="0">
        <n x="35"/>
        <n x="5"/>
        <n x="69" s="1"/>
      </t>
    </mdx>
    <mdx n="0" f="v">
      <t c="3" fi="0">
        <n x="35"/>
        <n x="3"/>
        <n x="69" s="1"/>
      </t>
    </mdx>
    <mdx n="0" f="v">
      <t c="4" fi="0">
        <n x="36"/>
        <n x="2"/>
        <n x="3"/>
        <n x="69" s="1"/>
      </t>
    </mdx>
    <mdx n="0" f="v">
      <t c="3" fi="0">
        <n x="36"/>
        <n x="5"/>
        <n x="69" s="1"/>
      </t>
    </mdx>
    <mdx n="0" f="v">
      <t c="3" fi="0">
        <n x="36"/>
        <n x="3"/>
        <n x="69" s="1"/>
      </t>
    </mdx>
    <mdx n="0" f="r">
      <t c="2">
        <n x="70"/>
        <n x="43"/>
      </t>
    </mdx>
    <mdx n="0" f="r">
      <t c="2">
        <n x="70"/>
        <n x="71"/>
      </t>
    </mdx>
    <mdx n="0" f="v">
      <t c="4" fi="0">
        <n x="1"/>
        <n x="13"/>
        <n x="3"/>
        <n x="72" s="1"/>
      </t>
    </mdx>
    <mdx n="0" f="v">
      <t c="3" fi="0">
        <n x="1"/>
        <n x="5"/>
        <n x="72" s="1"/>
      </t>
    </mdx>
    <mdx n="0" f="v">
      <t c="3" fi="0">
        <n x="1"/>
        <n x="3"/>
        <n x="72" s="1"/>
      </t>
    </mdx>
    <mdx n="0" f="v">
      <t c="4" fi="0">
        <n x="6"/>
        <n x="9"/>
        <n x="3"/>
        <n x="72" s="1"/>
      </t>
    </mdx>
    <mdx n="0" f="v">
      <t c="3" fi="0">
        <n x="6"/>
        <n x="5"/>
        <n x="72" s="1"/>
      </t>
    </mdx>
    <mdx n="0" f="v">
      <t c="3" fi="0">
        <n x="6"/>
        <n x="3"/>
        <n x="72" s="1"/>
      </t>
    </mdx>
    <mdx n="0" f="v">
      <t c="4" fi="0">
        <n x="8"/>
        <n x="13"/>
        <n x="3"/>
        <n x="72" s="1"/>
      </t>
    </mdx>
    <mdx n="0" f="v">
      <t c="3" fi="0">
        <n x="8"/>
        <n x="5"/>
        <n x="72" s="1"/>
      </t>
    </mdx>
    <mdx n="0" f="v">
      <t c="3" fi="0">
        <n x="8"/>
        <n x="3"/>
        <n x="72" s="1"/>
      </t>
    </mdx>
    <mdx n="0" f="v">
      <t c="4" fi="0">
        <n x="10"/>
        <n x="11"/>
        <n x="3"/>
        <n x="72" s="1"/>
      </t>
    </mdx>
    <mdx n="0" f="v">
      <t c="3" fi="0">
        <n x="10"/>
        <n x="5"/>
        <n x="72" s="1"/>
      </t>
    </mdx>
    <mdx n="0" f="v">
      <t c="3" fi="0">
        <n x="10"/>
        <n x="3"/>
        <n x="72" s="1"/>
      </t>
    </mdx>
    <mdx n="0" f="v">
      <t c="4" fi="0">
        <n x="12"/>
        <n x="13"/>
        <n x="3"/>
        <n x="72" s="1"/>
      </t>
    </mdx>
    <mdx n="0" f="v">
      <t c="3" fi="0">
        <n x="12"/>
        <n x="5"/>
        <n x="72" s="1"/>
      </t>
    </mdx>
    <mdx n="0" f="v">
      <t c="3" fi="0">
        <n x="12"/>
        <n x="3"/>
        <n x="72" s="1"/>
      </t>
    </mdx>
    <mdx n="0" f="v">
      <t c="4" fi="0">
        <n x="14"/>
        <n x="2"/>
        <n x="3"/>
        <n x="72" s="1"/>
      </t>
    </mdx>
    <mdx n="0" f="v">
      <t c="3" fi="0">
        <n x="14"/>
        <n x="5"/>
        <n x="72" s="1"/>
      </t>
    </mdx>
    <mdx n="0" f="v">
      <t c="3" fi="0">
        <n x="14"/>
        <n x="3"/>
        <n x="72" s="1"/>
      </t>
    </mdx>
    <mdx n="0" f="v">
      <t c="4" fi="0">
        <n x="16"/>
        <n x="9"/>
        <n x="3"/>
        <n x="72" s="1"/>
      </t>
    </mdx>
    <mdx n="0" f="v">
      <t c="3" fi="0">
        <n x="16"/>
        <n x="5"/>
        <n x="72" s="1"/>
      </t>
    </mdx>
    <mdx n="0" f="v">
      <t c="3" fi="0">
        <n x="16"/>
        <n x="3"/>
        <n x="72" s="1"/>
      </t>
    </mdx>
    <mdx n="0" f="v">
      <t c="4" fi="0">
        <n x="17"/>
        <n x="13"/>
        <n x="3"/>
        <n x="72" s="1"/>
      </t>
    </mdx>
    <mdx n="0" f="v">
      <t c="3" fi="0">
        <n x="17"/>
        <n x="5"/>
        <n x="72" s="1"/>
      </t>
    </mdx>
    <mdx n="0" f="v">
      <t c="3" fi="0">
        <n x="17"/>
        <n x="3"/>
        <n x="72" s="1"/>
      </t>
    </mdx>
    <mdx n="0" f="v">
      <t c="4" fi="0">
        <n x="18"/>
        <n x="13"/>
        <n x="3"/>
        <n x="72" s="1"/>
      </t>
    </mdx>
    <mdx n="0" f="v">
      <t c="3" fi="0">
        <n x="18"/>
        <n x="5"/>
        <n x="72" s="1"/>
      </t>
    </mdx>
    <mdx n="0" f="v">
      <t c="3" fi="0">
        <n x="18"/>
        <n x="3"/>
        <n x="72" s="1"/>
      </t>
    </mdx>
    <mdx n="0" f="v">
      <t c="4" fi="0">
        <n x="19"/>
        <n x="7"/>
        <n x="3"/>
        <n x="72" s="1"/>
      </t>
    </mdx>
    <mdx n="0" f="v">
      <t c="3" fi="0">
        <n x="19"/>
        <n x="5"/>
        <n x="72" s="1"/>
      </t>
    </mdx>
    <mdx n="0" f="v">
      <t c="3" fi="0">
        <n x="19"/>
        <n x="3"/>
        <n x="72" s="1"/>
      </t>
    </mdx>
    <mdx n="0" f="v">
      <t c="4" fi="0">
        <n x="20"/>
        <n x="13"/>
        <n x="3"/>
        <n x="72" s="1"/>
      </t>
    </mdx>
    <mdx n="0" f="v">
      <t c="3" fi="0">
        <n x="20"/>
        <n x="5"/>
        <n x="72" s="1"/>
      </t>
    </mdx>
    <mdx n="0" f="v">
      <t c="3" fi="0">
        <n x="20"/>
        <n x="3"/>
        <n x="72" s="1"/>
      </t>
    </mdx>
    <mdx n="0" f="v">
      <t c="4" fi="0">
        <n x="21"/>
        <n x="11"/>
        <n x="3"/>
        <n x="72" s="1"/>
      </t>
    </mdx>
    <mdx n="0" f="v">
      <t c="3" fi="0">
        <n x="21"/>
        <n x="5"/>
        <n x="72" s="1"/>
      </t>
    </mdx>
    <mdx n="0" f="v">
      <t c="3" fi="0">
        <n x="21"/>
        <n x="3"/>
        <n x="72" s="1"/>
      </t>
    </mdx>
    <mdx n="0" f="v">
      <t c="4" fi="0">
        <n x="22"/>
        <n x="13"/>
        <n x="3"/>
        <n x="72" s="1"/>
      </t>
    </mdx>
    <mdx n="0" f="v">
      <t c="3" fi="0">
        <n x="22"/>
        <n x="5"/>
        <n x="72" s="1"/>
      </t>
    </mdx>
    <mdx n="0" f="v">
      <t c="3" fi="0">
        <n x="22"/>
        <n x="3"/>
        <n x="72" s="1"/>
      </t>
    </mdx>
    <mdx n="0" f="v">
      <t c="4" fi="0">
        <n x="23"/>
        <n x="7"/>
        <n x="3"/>
        <n x="72" s="1"/>
      </t>
    </mdx>
    <mdx n="0" f="v">
      <t c="3" fi="0">
        <n x="23"/>
        <n x="5"/>
        <n x="72" s="1"/>
      </t>
    </mdx>
    <mdx n="0" f="v">
      <t c="3" fi="0">
        <n x="23"/>
        <n x="3"/>
        <n x="72" s="1"/>
      </t>
    </mdx>
    <mdx n="0" f="v">
      <t c="4" fi="0">
        <n x="24"/>
        <n x="2"/>
        <n x="3"/>
        <n x="72" s="1"/>
      </t>
    </mdx>
    <mdx n="0" f="v">
      <t c="3" fi="0">
        <n x="24"/>
        <n x="5"/>
        <n x="72" s="1"/>
      </t>
    </mdx>
    <mdx n="0" f="v">
      <t c="3" fi="0">
        <n x="24"/>
        <n x="3"/>
        <n x="72" s="1"/>
      </t>
    </mdx>
    <mdx n="0" f="v">
      <t c="4" fi="0">
        <n x="25"/>
        <n x="7"/>
        <n x="3"/>
        <n x="72" s="1"/>
      </t>
    </mdx>
    <mdx n="0" f="v">
      <t c="3" fi="0">
        <n x="25"/>
        <n x="5"/>
        <n x="72" s="1"/>
      </t>
    </mdx>
    <mdx n="0" f="v">
      <t c="3" fi="0">
        <n x="25"/>
        <n x="3"/>
        <n x="72" s="1"/>
      </t>
    </mdx>
    <mdx n="0" f="v">
      <t c="4" fi="0">
        <n x="26"/>
        <n x="9"/>
        <n x="3"/>
        <n x="72" s="1"/>
      </t>
    </mdx>
    <mdx n="0" f="v">
      <t c="3" fi="0">
        <n x="26"/>
        <n x="5"/>
        <n x="72" s="1"/>
      </t>
    </mdx>
    <mdx n="0" f="v">
      <t c="3" fi="0">
        <n x="26"/>
        <n x="3"/>
        <n x="72" s="1"/>
      </t>
    </mdx>
    <mdx n="0" f="v">
      <t c="4" fi="0">
        <n x="27"/>
        <n x="15"/>
        <n x="3"/>
        <n x="72" s="1"/>
      </t>
    </mdx>
    <mdx n="0" f="v">
      <t c="3" fi="0">
        <n x="27"/>
        <n x="5"/>
        <n x="72" s="1"/>
      </t>
    </mdx>
    <mdx n="0" f="v">
      <t c="3" fi="0">
        <n x="27"/>
        <n x="3"/>
        <n x="72" s="1"/>
      </t>
    </mdx>
    <mdx n="0" f="v">
      <t c="4" fi="0">
        <n x="28"/>
        <n x="7"/>
        <n x="3"/>
        <n x="72" s="1"/>
      </t>
    </mdx>
    <mdx n="0" f="v">
      <t c="3" fi="0">
        <n x="28"/>
        <n x="5"/>
        <n x="72" s="1"/>
      </t>
    </mdx>
    <mdx n="0" f="v">
      <t c="3" fi="0">
        <n x="28"/>
        <n x="3"/>
        <n x="72" s="1"/>
      </t>
    </mdx>
    <mdx n="0" f="v">
      <t c="4" fi="0">
        <n x="29"/>
        <n x="2"/>
        <n x="3"/>
        <n x="72" s="1"/>
      </t>
    </mdx>
    <mdx n="0" f="v">
      <t c="3" fi="0">
        <n x="29"/>
        <n x="5"/>
        <n x="72" s="1"/>
      </t>
    </mdx>
    <mdx n="0" f="v">
      <t c="3" fi="0">
        <n x="29"/>
        <n x="3"/>
        <n x="72" s="1"/>
      </t>
    </mdx>
    <mdx n="0" f="v">
      <t c="4" fi="0">
        <n x="30"/>
        <n x="9"/>
        <n x="3"/>
        <n x="72" s="1"/>
      </t>
    </mdx>
    <mdx n="0" f="v">
      <t c="3" fi="0">
        <n x="30"/>
        <n x="5"/>
        <n x="72" s="1"/>
      </t>
    </mdx>
    <mdx n="0" f="v">
      <t c="3" fi="0">
        <n x="30"/>
        <n x="3"/>
        <n x="72" s="1"/>
      </t>
    </mdx>
    <mdx n="0" f="v">
      <t c="4" fi="0">
        <n x="31"/>
        <n x="13"/>
        <n x="3"/>
        <n x="72" s="1"/>
      </t>
    </mdx>
    <mdx n="0" f="v">
      <t c="3" fi="0">
        <n x="31"/>
        <n x="5"/>
        <n x="72" s="1"/>
      </t>
    </mdx>
    <mdx n="0" f="v">
      <t c="3" fi="0">
        <n x="31"/>
        <n x="3"/>
        <n x="72" s="1"/>
      </t>
    </mdx>
    <mdx n="0" f="v">
      <t c="4" fi="0">
        <n x="32"/>
        <n x="9"/>
        <n x="3"/>
        <n x="72" s="1"/>
      </t>
    </mdx>
    <mdx n="0" f="v">
      <t c="3" fi="0">
        <n x="32"/>
        <n x="5"/>
        <n x="72" s="1"/>
      </t>
    </mdx>
    <mdx n="0" f="v">
      <t c="3" fi="0">
        <n x="32"/>
        <n x="3"/>
        <n x="72" s="1"/>
      </t>
    </mdx>
    <mdx n="0" f="v">
      <t c="4" fi="0">
        <n x="33"/>
        <n x="2"/>
        <n x="3"/>
        <n x="72" s="1"/>
      </t>
    </mdx>
    <mdx n="0" f="v">
      <t c="3" fi="0">
        <n x="33"/>
        <n x="5"/>
        <n x="72" s="1"/>
      </t>
    </mdx>
    <mdx n="0" f="v">
      <t c="3" fi="0">
        <n x="33"/>
        <n x="3"/>
        <n x="72" s="1"/>
      </t>
    </mdx>
    <mdx n="0" f="v">
      <t c="4" fi="0">
        <n x="34"/>
        <n x="15"/>
        <n x="3"/>
        <n x="72" s="1"/>
      </t>
    </mdx>
    <mdx n="0" f="v">
      <t c="3" fi="0">
        <n x="34"/>
        <n x="5"/>
        <n x="72" s="1"/>
      </t>
    </mdx>
    <mdx n="0" f="v">
      <t c="3" fi="0">
        <n x="34"/>
        <n x="3"/>
        <n x="72" s="1"/>
      </t>
    </mdx>
    <mdx n="0" f="v">
      <t c="4" fi="0">
        <n x="35"/>
        <n x="2"/>
        <n x="3"/>
        <n x="72" s="1"/>
      </t>
    </mdx>
    <mdx n="0" f="v">
      <t c="3" fi="0">
        <n x="35"/>
        <n x="5"/>
        <n x="72" s="1"/>
      </t>
    </mdx>
    <mdx n="0" f="v">
      <t c="3" fi="0">
        <n x="35"/>
        <n x="3"/>
        <n x="72" s="1"/>
      </t>
    </mdx>
    <mdx n="0" f="v">
      <t c="4" fi="0">
        <n x="36"/>
        <n x="13"/>
        <n x="3"/>
        <n x="72" s="1"/>
      </t>
    </mdx>
    <mdx n="0" f="v">
      <t c="3" fi="0">
        <n x="36"/>
        <n x="5"/>
        <n x="72" s="1"/>
      </t>
    </mdx>
    <mdx n="0" f="v">
      <t c="3" fi="0">
        <n x="36"/>
        <n x="3"/>
        <n x="72" s="1"/>
      </t>
    </mdx>
    <mdx n="0" f="r">
      <t c="2">
        <n x="73"/>
        <n x="43"/>
      </t>
    </mdx>
    <mdx n="0" f="r">
      <t c="2">
        <n x="73"/>
        <n x="74"/>
      </t>
    </mdx>
    <mdx n="0" f="v">
      <t c="4" fi="0">
        <n x="1"/>
        <n x="2"/>
        <n x="3"/>
        <n x="75" s="1"/>
      </t>
    </mdx>
    <mdx n="0" f="v">
      <t c="3" fi="0">
        <n x="1"/>
        <n x="5"/>
        <n x="75" s="1"/>
      </t>
    </mdx>
    <mdx n="0" f="v">
      <t c="3" fi="0">
        <n x="1"/>
        <n x="3"/>
        <n x="75" s="1"/>
      </t>
    </mdx>
    <mdx n="0" f="v">
      <t c="4" fi="0">
        <n x="6"/>
        <n x="13"/>
        <n x="3"/>
        <n x="75" s="1"/>
      </t>
    </mdx>
    <mdx n="0" f="v">
      <t c="3" fi="0">
        <n x="6"/>
        <n x="5"/>
        <n x="75" s="1"/>
      </t>
    </mdx>
    <mdx n="0" f="v">
      <t c="3" fi="0">
        <n x="6"/>
        <n x="3"/>
        <n x="75" s="1"/>
      </t>
    </mdx>
    <mdx n="0" f="v">
      <t c="4" fi="0">
        <n x="8"/>
        <n x="13"/>
        <n x="3"/>
        <n x="75" s="1"/>
      </t>
    </mdx>
    <mdx n="0" f="v">
      <t c="3" fi="0">
        <n x="8"/>
        <n x="5"/>
        <n x="75" s="1"/>
      </t>
    </mdx>
    <mdx n="0" f="v">
      <t c="3" fi="0">
        <n x="8"/>
        <n x="3"/>
        <n x="75" s="1"/>
      </t>
    </mdx>
    <mdx n="0" f="v">
      <t c="4" fi="0">
        <n x="10"/>
        <n x="15"/>
        <n x="3"/>
        <n x="75" s="1"/>
      </t>
    </mdx>
    <mdx n="0" f="v">
      <t c="3" fi="0">
        <n x="10"/>
        <n x="5"/>
        <n x="75" s="1"/>
      </t>
    </mdx>
    <mdx n="0" f="v">
      <t c="3" fi="0">
        <n x="10"/>
        <n x="3"/>
        <n x="75" s="1"/>
      </t>
    </mdx>
    <mdx n="0" f="v">
      <t c="4" fi="0">
        <n x="12"/>
        <n x="15"/>
        <n x="3"/>
        <n x="75" s="1"/>
      </t>
    </mdx>
    <mdx n="0" f="v">
      <t c="3" fi="0">
        <n x="12"/>
        <n x="5"/>
        <n x="75" s="1"/>
      </t>
    </mdx>
    <mdx n="0" f="v">
      <t c="3" fi="0">
        <n x="12"/>
        <n x="3"/>
        <n x="75" s="1"/>
      </t>
    </mdx>
    <mdx n="0" f="v">
      <t c="4" fi="0">
        <n x="14"/>
        <n x="13"/>
        <n x="3"/>
        <n x="75" s="1"/>
      </t>
    </mdx>
    <mdx n="0" f="v">
      <t c="3" fi="0">
        <n x="14"/>
        <n x="5"/>
        <n x="75" s="1"/>
      </t>
    </mdx>
    <mdx n="0" f="v">
      <t c="3" fi="0">
        <n x="14"/>
        <n x="3"/>
        <n x="75" s="1"/>
      </t>
    </mdx>
    <mdx n="0" f="v">
      <t c="4" fi="0">
        <n x="16"/>
        <n x="2"/>
        <n x="3"/>
        <n x="75" s="1"/>
      </t>
    </mdx>
    <mdx n="0" f="v">
      <t c="3" fi="0">
        <n x="16"/>
        <n x="5"/>
        <n x="75" s="1"/>
      </t>
    </mdx>
    <mdx n="0" f="v">
      <t c="3" fi="0">
        <n x="16"/>
        <n x="3"/>
        <n x="75" s="1"/>
      </t>
    </mdx>
    <mdx n="0" f="v">
      <t c="4" fi="0">
        <n x="17"/>
        <n x="7"/>
        <n x="3"/>
        <n x="75" s="1"/>
      </t>
    </mdx>
    <mdx n="0" f="v">
      <t c="3" fi="0">
        <n x="17"/>
        <n x="5"/>
        <n x="75" s="1"/>
      </t>
    </mdx>
    <mdx n="0" f="v">
      <t c="3" fi="0">
        <n x="17"/>
        <n x="3"/>
        <n x="75" s="1"/>
      </t>
    </mdx>
    <mdx n="0" f="v">
      <t c="4" fi="0">
        <n x="18"/>
        <n x="7"/>
        <n x="3"/>
        <n x="75" s="1"/>
      </t>
    </mdx>
    <mdx n="0" f="v">
      <t c="3" fi="0">
        <n x="18"/>
        <n x="5"/>
        <n x="75" s="1"/>
      </t>
    </mdx>
    <mdx n="0" f="v">
      <t c="3" fi="0">
        <n x="18"/>
        <n x="3"/>
        <n x="75" s="1"/>
      </t>
    </mdx>
    <mdx n="0" f="v">
      <t c="4" fi="0">
        <n x="19"/>
        <n x="7"/>
        <n x="3"/>
        <n x="75" s="1"/>
      </t>
    </mdx>
    <mdx n="0" f="v">
      <t c="3" fi="0">
        <n x="19"/>
        <n x="5"/>
        <n x="75" s="1"/>
      </t>
    </mdx>
    <mdx n="0" f="v">
      <t c="3" fi="0">
        <n x="19"/>
        <n x="3"/>
        <n x="75" s="1"/>
      </t>
    </mdx>
    <mdx n="0" f="v">
      <t c="4" fi="0">
        <n x="20"/>
        <n x="13"/>
        <n x="3"/>
        <n x="75" s="1"/>
      </t>
    </mdx>
    <mdx n="0" f="v">
      <t c="3" fi="0">
        <n x="20"/>
        <n x="5"/>
        <n x="75" s="1"/>
      </t>
    </mdx>
    <mdx n="0" f="v">
      <t c="3" fi="0">
        <n x="20"/>
        <n x="3"/>
        <n x="75" s="1"/>
      </t>
    </mdx>
    <mdx n="0" f="v">
      <t c="4" fi="0">
        <n x="21"/>
        <n x="2"/>
        <n x="3"/>
        <n x="75" s="1"/>
      </t>
    </mdx>
    <mdx n="0" f="v">
      <t c="3" fi="0">
        <n x="21"/>
        <n x="5"/>
        <n x="75" s="1"/>
      </t>
    </mdx>
    <mdx n="0" f="v">
      <t c="3" fi="0">
        <n x="21"/>
        <n x="3"/>
        <n x="75" s="1"/>
      </t>
    </mdx>
    <mdx n="0" f="v">
      <t c="4" fi="0">
        <n x="22"/>
        <n x="9"/>
        <n x="3"/>
        <n x="75" s="1"/>
      </t>
    </mdx>
    <mdx n="0" f="v">
      <t c="3" fi="0">
        <n x="22"/>
        <n x="5"/>
        <n x="75" s="1"/>
      </t>
    </mdx>
    <mdx n="0" f="v">
      <t c="3" fi="0">
        <n x="22"/>
        <n x="3"/>
        <n x="75" s="1"/>
      </t>
    </mdx>
    <mdx n="0" f="v">
      <t c="4" fi="0">
        <n x="23"/>
        <n x="13"/>
        <n x="3"/>
        <n x="75" s="1"/>
      </t>
    </mdx>
    <mdx n="0" f="v">
      <t c="3" fi="0">
        <n x="23"/>
        <n x="5"/>
        <n x="75" s="1"/>
      </t>
    </mdx>
    <mdx n="0" f="v">
      <t c="3" fi="0">
        <n x="23"/>
        <n x="3"/>
        <n x="75" s="1"/>
      </t>
    </mdx>
    <mdx n="0" f="v">
      <t c="4" fi="0">
        <n x="24"/>
        <n x="15"/>
        <n x="3"/>
        <n x="75" s="1"/>
      </t>
    </mdx>
    <mdx n="0" f="v">
      <t c="3" fi="0">
        <n x="24"/>
        <n x="5"/>
        <n x="75" s="1"/>
      </t>
    </mdx>
    <mdx n="0" f="v">
      <t c="3" fi="0">
        <n x="24"/>
        <n x="3"/>
        <n x="75" s="1"/>
      </t>
    </mdx>
    <mdx n="0" f="v">
      <t c="4" fi="0">
        <n x="25"/>
        <n x="2"/>
        <n x="3"/>
        <n x="75" s="1"/>
      </t>
    </mdx>
    <mdx n="0" f="v">
      <t c="3" fi="0">
        <n x="25"/>
        <n x="5"/>
        <n x="75" s="1"/>
      </t>
    </mdx>
    <mdx n="0" f="v">
      <t c="3" fi="0">
        <n x="25"/>
        <n x="3"/>
        <n x="75" s="1"/>
      </t>
    </mdx>
    <mdx n="0" f="v">
      <t c="4" fi="0">
        <n x="26"/>
        <n x="9"/>
        <n x="3"/>
        <n x="75" s="1"/>
      </t>
    </mdx>
    <mdx n="0" f="v">
      <t c="3" fi="0">
        <n x="26"/>
        <n x="5"/>
        <n x="75" s="1"/>
      </t>
    </mdx>
    <mdx n="0" f="v">
      <t c="3" fi="0">
        <n x="26"/>
        <n x="3"/>
        <n x="75" s="1"/>
      </t>
    </mdx>
    <mdx n="0" f="v">
      <t c="4" fi="0">
        <n x="27"/>
        <n x="15"/>
        <n x="3"/>
        <n x="75" s="1"/>
      </t>
    </mdx>
    <mdx n="0" f="v">
      <t c="3" fi="0">
        <n x="27"/>
        <n x="5"/>
        <n x="75" s="1"/>
      </t>
    </mdx>
    <mdx n="0" f="v">
      <t c="3" fi="0">
        <n x="27"/>
        <n x="3"/>
        <n x="75" s="1"/>
      </t>
    </mdx>
    <mdx n="0" f="v">
      <t c="4" fi="0">
        <n x="28"/>
        <n x="15"/>
        <n x="3"/>
        <n x="75" s="1"/>
      </t>
    </mdx>
    <mdx n="0" f="v">
      <t c="3" fi="0">
        <n x="28"/>
        <n x="5"/>
        <n x="75" s="1"/>
      </t>
    </mdx>
    <mdx n="0" f="v">
      <t c="3" fi="0">
        <n x="28"/>
        <n x="3"/>
        <n x="75" s="1"/>
      </t>
    </mdx>
    <mdx n="0" f="v">
      <t c="4" fi="0">
        <n x="29"/>
        <n x="7"/>
        <n x="3"/>
        <n x="75" s="1"/>
      </t>
    </mdx>
    <mdx n="0" f="v">
      <t c="3" fi="0">
        <n x="29"/>
        <n x="5"/>
        <n x="75" s="1"/>
      </t>
    </mdx>
    <mdx n="0" f="v">
      <t c="3" fi="0">
        <n x="29"/>
        <n x="3"/>
        <n x="75" s="1"/>
      </t>
    </mdx>
    <mdx n="0" f="v">
      <t c="4" fi="0">
        <n x="30"/>
        <n x="9"/>
        <n x="3"/>
        <n x="75" s="1"/>
      </t>
    </mdx>
    <mdx n="0" f="v">
      <t c="3" fi="0">
        <n x="30"/>
        <n x="5"/>
        <n x="75" s="1"/>
      </t>
    </mdx>
    <mdx n="0" f="v">
      <t c="3" fi="0">
        <n x="30"/>
        <n x="3"/>
        <n x="75" s="1"/>
      </t>
    </mdx>
    <mdx n="0" f="v">
      <t c="4" fi="0">
        <n x="31"/>
        <n x="2"/>
        <n x="3"/>
        <n x="75" s="1"/>
      </t>
    </mdx>
    <mdx n="0" f="v">
      <t c="3" fi="0">
        <n x="31"/>
        <n x="5"/>
        <n x="75" s="1"/>
      </t>
    </mdx>
    <mdx n="0" f="v">
      <t c="3" fi="0">
        <n x="31"/>
        <n x="3"/>
        <n x="75" s="1"/>
      </t>
    </mdx>
    <mdx n="0" f="v">
      <t c="4" fi="0">
        <n x="32"/>
        <n x="2"/>
        <n x="3"/>
        <n x="75" s="1"/>
      </t>
    </mdx>
    <mdx n="0" f="v">
      <t c="3" fi="0">
        <n x="32"/>
        <n x="5"/>
        <n x="75" s="1"/>
      </t>
    </mdx>
    <mdx n="0" f="v">
      <t c="3" fi="0">
        <n x="32"/>
        <n x="3"/>
        <n x="75" s="1"/>
      </t>
    </mdx>
    <mdx n="0" f="v">
      <t c="4" fi="0">
        <n x="33"/>
        <n x="13"/>
        <n x="3"/>
        <n x="75" s="1"/>
      </t>
    </mdx>
    <mdx n="0" f="v">
      <t c="3" fi="0">
        <n x="33"/>
        <n x="5"/>
        <n x="75" s="1"/>
      </t>
    </mdx>
    <mdx n="0" f="v">
      <t c="3" fi="0">
        <n x="33"/>
        <n x="3"/>
        <n x="75" s="1"/>
      </t>
    </mdx>
    <mdx n="0" f="v">
      <t c="4" fi="0">
        <n x="34"/>
        <n x="11"/>
        <n x="3"/>
        <n x="75" s="1"/>
      </t>
    </mdx>
    <mdx n="0" f="v">
      <t c="3" fi="0">
        <n x="34"/>
        <n x="5"/>
        <n x="75" s="1"/>
      </t>
    </mdx>
    <mdx n="0" f="v">
      <t c="3" fi="0">
        <n x="34"/>
        <n x="3"/>
        <n x="75" s="1"/>
      </t>
    </mdx>
    <mdx n="0" f="v">
      <t c="4" fi="0">
        <n x="35"/>
        <n x="9"/>
        <n x="3"/>
        <n x="75" s="1"/>
      </t>
    </mdx>
    <mdx n="0" f="v">
      <t c="3" fi="0">
        <n x="35"/>
        <n x="5"/>
        <n x="75" s="1"/>
      </t>
    </mdx>
    <mdx n="0" f="v">
      <t c="3" fi="0">
        <n x="35"/>
        <n x="3"/>
        <n x="75" s="1"/>
      </t>
    </mdx>
    <mdx n="0" f="v">
      <t c="4" fi="0">
        <n x="36"/>
        <n x="2"/>
        <n x="3"/>
        <n x="75" s="1"/>
      </t>
    </mdx>
    <mdx n="0" f="v">
      <t c="3" fi="0">
        <n x="36"/>
        <n x="5"/>
        <n x="75" s="1"/>
      </t>
    </mdx>
    <mdx n="0" f="v">
      <t c="3" fi="0">
        <n x="36"/>
        <n x="3"/>
        <n x="75" s="1"/>
      </t>
    </mdx>
    <mdx n="0" f="r">
      <t c="2">
        <n x="76"/>
        <n x="43"/>
      </t>
    </mdx>
    <mdx n="0" f="r">
      <t c="2">
        <n x="76"/>
        <n x="77"/>
      </t>
    </mdx>
    <mdx n="0" f="v">
      <t c="4" fi="0">
        <n x="1"/>
        <n x="13"/>
        <n x="3"/>
        <n x="78" s="1"/>
      </t>
    </mdx>
    <mdx n="0" f="v">
      <t c="3" fi="0">
        <n x="1"/>
        <n x="5"/>
        <n x="78" s="1"/>
      </t>
    </mdx>
    <mdx n="0" f="v">
      <t c="3" fi="0">
        <n x="1"/>
        <n x="3"/>
        <n x="78" s="1"/>
      </t>
    </mdx>
    <mdx n="0" f="v">
      <t c="4" fi="0">
        <n x="6"/>
        <n x="9"/>
        <n x="3"/>
        <n x="78" s="1"/>
      </t>
    </mdx>
    <mdx n="0" f="v">
      <t c="3" fi="0">
        <n x="6"/>
        <n x="5"/>
        <n x="78" s="1"/>
      </t>
    </mdx>
    <mdx n="0" f="v">
      <t c="3" fi="0">
        <n x="6"/>
        <n x="3"/>
        <n x="78" s="1"/>
      </t>
    </mdx>
    <mdx n="0" f="v">
      <t c="4" fi="0">
        <n x="8"/>
        <n x="13"/>
        <n x="3"/>
        <n x="78" s="1"/>
      </t>
    </mdx>
    <mdx n="0" f="v">
      <t c="3" fi="0">
        <n x="8"/>
        <n x="5"/>
        <n x="78" s="1"/>
      </t>
    </mdx>
    <mdx n="0" f="v">
      <t c="3" fi="0">
        <n x="8"/>
        <n x="3"/>
        <n x="78" s="1"/>
      </t>
    </mdx>
    <mdx n="0" f="v">
      <t c="4" fi="0">
        <n x="10"/>
        <n x="7"/>
        <n x="3"/>
        <n x="78" s="1"/>
      </t>
    </mdx>
    <mdx n="0" f="v">
      <t c="3" fi="0">
        <n x="10"/>
        <n x="5"/>
        <n x="78" s="1"/>
      </t>
    </mdx>
    <mdx n="0" f="v">
      <t c="3" fi="0">
        <n x="10"/>
        <n x="3"/>
        <n x="78" s="1"/>
      </t>
    </mdx>
    <mdx n="0" f="v">
      <t c="4" fi="0">
        <n x="12"/>
        <n x="9"/>
        <n x="3"/>
        <n x="78" s="1"/>
      </t>
    </mdx>
    <mdx n="0" f="v">
      <t c="3" fi="0">
        <n x="12"/>
        <n x="5"/>
        <n x="78" s="1"/>
      </t>
    </mdx>
    <mdx n="0" f="v">
      <t c="3" fi="0">
        <n x="12"/>
        <n x="3"/>
        <n x="78" s="1"/>
      </t>
    </mdx>
    <mdx n="0" f="v">
      <t c="4" fi="0">
        <n x="14"/>
        <n x="15"/>
        <n x="3"/>
        <n x="78" s="1"/>
      </t>
    </mdx>
    <mdx n="0" f="v">
      <t c="3" fi="0">
        <n x="14"/>
        <n x="5"/>
        <n x="78" s="1"/>
      </t>
    </mdx>
    <mdx n="0" f="v">
      <t c="3" fi="0">
        <n x="14"/>
        <n x="3"/>
        <n x="78" s="1"/>
      </t>
    </mdx>
    <mdx n="0" f="v">
      <t c="4" fi="0">
        <n x="16"/>
        <n x="13"/>
        <n x="3"/>
        <n x="78" s="1"/>
      </t>
    </mdx>
    <mdx n="0" f="v">
      <t c="3" fi="0">
        <n x="16"/>
        <n x="5"/>
        <n x="78" s="1"/>
      </t>
    </mdx>
    <mdx n="0" f="v">
      <t c="3" fi="0">
        <n x="16"/>
        <n x="3"/>
        <n x="78" s="1"/>
      </t>
    </mdx>
    <mdx n="0" f="v">
      <t c="4" fi="0">
        <n x="17"/>
        <n x="2"/>
        <n x="3"/>
        <n x="78" s="1"/>
      </t>
    </mdx>
    <mdx n="0" f="v">
      <t c="3" fi="0">
        <n x="17"/>
        <n x="5"/>
        <n x="78" s="1"/>
      </t>
    </mdx>
    <mdx n="0" f="v">
      <t c="3" fi="0">
        <n x="17"/>
        <n x="3"/>
        <n x="78" s="1"/>
      </t>
    </mdx>
    <mdx n="0" f="v">
      <t c="4" fi="0">
        <n x="18"/>
        <n x="2"/>
        <n x="3"/>
        <n x="78" s="1"/>
      </t>
    </mdx>
    <mdx n="0" f="v">
      <t c="3" fi="0">
        <n x="18"/>
        <n x="5"/>
        <n x="78" s="1"/>
      </t>
    </mdx>
    <mdx n="0" f="v">
      <t c="3" fi="0">
        <n x="18"/>
        <n x="3"/>
        <n x="78" s="1"/>
      </t>
    </mdx>
    <mdx n="0" f="v">
      <t c="4" fi="0">
        <n x="19"/>
        <n x="7"/>
        <n x="3"/>
        <n x="78" s="1"/>
      </t>
    </mdx>
    <mdx n="0" f="v">
      <t c="3" fi="0">
        <n x="19"/>
        <n x="5"/>
        <n x="78" s="1"/>
      </t>
    </mdx>
    <mdx n="0" f="v">
      <t c="3" fi="0">
        <n x="19"/>
        <n x="3"/>
        <n x="78" s="1"/>
      </t>
    </mdx>
    <mdx n="0" f="v">
      <t c="4" fi="0">
        <n x="20"/>
        <n x="15"/>
        <n x="3"/>
        <n x="78" s="1"/>
      </t>
    </mdx>
    <mdx n="0" f="v">
      <t c="3" fi="0">
        <n x="20"/>
        <n x="5"/>
        <n x="78" s="1"/>
      </t>
    </mdx>
    <mdx n="0" f="v">
      <t c="3" fi="0">
        <n x="20"/>
        <n x="3"/>
        <n x="78" s="1"/>
      </t>
    </mdx>
    <mdx n="0" f="v">
      <t c="4" fi="0">
        <n x="21"/>
        <n x="9"/>
        <n x="3"/>
        <n x="78" s="1"/>
      </t>
    </mdx>
    <mdx n="0" f="v">
      <t c="3" fi="0">
        <n x="21"/>
        <n x="5"/>
        <n x="78" s="1"/>
      </t>
    </mdx>
    <mdx n="0" f="v">
      <t c="3" fi="0">
        <n x="21"/>
        <n x="3"/>
        <n x="78" s="1"/>
      </t>
    </mdx>
    <mdx n="0" f="v">
      <t c="4" fi="0">
        <n x="22"/>
        <n x="15"/>
        <n x="3"/>
        <n x="78" s="1"/>
      </t>
    </mdx>
    <mdx n="0" f="v">
      <t c="3" fi="0">
        <n x="22"/>
        <n x="5"/>
        <n x="78" s="1"/>
      </t>
    </mdx>
    <mdx n="0" f="v">
      <t c="3" fi="0">
        <n x="22"/>
        <n x="3"/>
        <n x="78" s="1"/>
      </t>
    </mdx>
    <mdx n="0" f="v">
      <t c="4" fi="0">
        <n x="23"/>
        <n x="7"/>
        <n x="3"/>
        <n x="78" s="1"/>
      </t>
    </mdx>
    <mdx n="0" f="v">
      <t c="3" fi="0">
        <n x="23"/>
        <n x="5"/>
        <n x="78" s="1"/>
      </t>
    </mdx>
    <mdx n="0" f="v">
      <t c="3" fi="0">
        <n x="23"/>
        <n x="3"/>
        <n x="78" s="1"/>
      </t>
    </mdx>
    <mdx n="0" f="v">
      <t c="4" fi="0">
        <n x="24"/>
        <n x="15"/>
        <n x="3"/>
        <n x="78" s="1"/>
      </t>
    </mdx>
    <mdx n="0" f="v">
      <t c="3" fi="0">
        <n x="24"/>
        <n x="5"/>
        <n x="78" s="1"/>
      </t>
    </mdx>
    <mdx n="0" f="v">
      <t c="3" fi="0">
        <n x="24"/>
        <n x="3"/>
        <n x="78" s="1"/>
      </t>
    </mdx>
    <mdx n="0" f="v">
      <t c="4" fi="0">
        <n x="25"/>
        <n x="2"/>
        <n x="3"/>
        <n x="78" s="1"/>
      </t>
    </mdx>
    <mdx n="0" f="v">
      <t c="3" fi="0">
        <n x="25"/>
        <n x="5"/>
        <n x="78" s="1"/>
      </t>
    </mdx>
    <mdx n="0" f="v">
      <t c="3" fi="0">
        <n x="25"/>
        <n x="3"/>
        <n x="78" s="1"/>
      </t>
    </mdx>
    <mdx n="0" f="v">
      <t c="4" fi="0">
        <n x="26"/>
        <n x="2"/>
        <n x="3"/>
        <n x="78" s="1"/>
      </t>
    </mdx>
    <mdx n="0" f="v">
      <t c="3" fi="0">
        <n x="26"/>
        <n x="5"/>
        <n x="78" s="1"/>
      </t>
    </mdx>
    <mdx n="0" f="v">
      <t c="3" fi="0">
        <n x="26"/>
        <n x="3"/>
        <n x="78" s="1"/>
      </t>
    </mdx>
    <mdx n="0" f="v">
      <t c="4" fi="0">
        <n x="27"/>
        <n x="9"/>
        <n x="3"/>
        <n x="78" s="1"/>
      </t>
    </mdx>
    <mdx n="0" f="v">
      <t c="3" fi="0">
        <n x="27"/>
        <n x="5"/>
        <n x="78" s="1"/>
      </t>
    </mdx>
    <mdx n="0" f="v">
      <t c="3" fi="0">
        <n x="27"/>
        <n x="3"/>
        <n x="78" s="1"/>
      </t>
    </mdx>
    <mdx n="0" f="v">
      <t c="4" fi="0">
        <n x="28"/>
        <n x="13"/>
        <n x="3"/>
        <n x="78" s="1"/>
      </t>
    </mdx>
    <mdx n="0" f="v">
      <t c="3" fi="0">
        <n x="28"/>
        <n x="5"/>
        <n x="78" s="1"/>
      </t>
    </mdx>
    <mdx n="0" f="v">
      <t c="3" fi="0">
        <n x="28"/>
        <n x="3"/>
        <n x="78" s="1"/>
      </t>
    </mdx>
    <mdx n="0" f="v">
      <t c="4" fi="0">
        <n x="29"/>
        <n x="2"/>
        <n x="3"/>
        <n x="78" s="1"/>
      </t>
    </mdx>
    <mdx n="0" f="v">
      <t c="3" fi="0">
        <n x="29"/>
        <n x="5"/>
        <n x="78" s="1"/>
      </t>
    </mdx>
    <mdx n="0" f="v">
      <t c="3" fi="0">
        <n x="29"/>
        <n x="3"/>
        <n x="78" s="1"/>
      </t>
    </mdx>
    <mdx n="0" f="v">
      <t c="3" fi="0">
        <n x="30"/>
        <n x="5"/>
        <n x="78" s="1"/>
      </t>
    </mdx>
    <mdx n="0" f="v">
      <t c="4" fi="0">
        <n x="31"/>
        <n x="13"/>
        <n x="3"/>
        <n x="78" s="1"/>
      </t>
    </mdx>
    <mdx n="0" f="v">
      <t c="3" fi="0">
        <n x="31"/>
        <n x="5"/>
        <n x="78" s="1"/>
      </t>
    </mdx>
    <mdx n="0" f="v">
      <t c="3" fi="0">
        <n x="31"/>
        <n x="3"/>
        <n x="78" s="1"/>
      </t>
    </mdx>
    <mdx n="0" f="v">
      <t c="4" fi="0">
        <n x="32"/>
        <n x="13"/>
        <n x="3"/>
        <n x="78" s="1"/>
      </t>
    </mdx>
    <mdx n="0" f="v">
      <t c="3" fi="0">
        <n x="32"/>
        <n x="5"/>
        <n x="78" s="1"/>
      </t>
    </mdx>
    <mdx n="0" f="v">
      <t c="3" fi="0">
        <n x="32"/>
        <n x="3"/>
        <n x="78" s="1"/>
      </t>
    </mdx>
    <mdx n="0" f="v">
      <t c="4" fi="0">
        <n x="33"/>
        <n x="13"/>
        <n x="3"/>
        <n x="78" s="1"/>
      </t>
    </mdx>
    <mdx n="0" f="v">
      <t c="3" fi="0">
        <n x="33"/>
        <n x="5"/>
        <n x="78" s="1"/>
      </t>
    </mdx>
    <mdx n="0" f="v">
      <t c="3" fi="0">
        <n x="33"/>
        <n x="3"/>
        <n x="78" s="1"/>
      </t>
    </mdx>
    <mdx n="0" f="v">
      <t c="4" fi="0">
        <n x="34"/>
        <n x="15"/>
        <n x="3"/>
        <n x="78" s="1"/>
      </t>
    </mdx>
    <mdx n="0" f="v">
      <t c="3" fi="0">
        <n x="34"/>
        <n x="5"/>
        <n x="78" s="1"/>
      </t>
    </mdx>
    <mdx n="0" f="v">
      <t c="3" fi="0">
        <n x="34"/>
        <n x="3"/>
        <n x="78" s="1"/>
      </t>
    </mdx>
    <mdx n="0" f="v">
      <t c="4" fi="0">
        <n x="35"/>
        <n x="15"/>
        <n x="3"/>
        <n x="78" s="1"/>
      </t>
    </mdx>
    <mdx n="0" f="v">
      <t c="3" fi="0">
        <n x="35"/>
        <n x="5"/>
        <n x="78" s="1"/>
      </t>
    </mdx>
    <mdx n="0" f="v">
      <t c="3" fi="0">
        <n x="35"/>
        <n x="3"/>
        <n x="78" s="1"/>
      </t>
    </mdx>
    <mdx n="0" f="v">
      <t c="4" fi="0">
        <n x="36"/>
        <n x="13"/>
        <n x="3"/>
        <n x="78" s="1"/>
      </t>
    </mdx>
    <mdx n="0" f="v">
      <t c="3" fi="0">
        <n x="36"/>
        <n x="5"/>
        <n x="78" s="1"/>
      </t>
    </mdx>
    <mdx n="0" f="v">
      <t c="3" fi="0">
        <n x="36"/>
        <n x="3"/>
        <n x="78" s="1"/>
      </t>
    </mdx>
    <mdx n="0" f="r">
      <t c="2">
        <n x="79"/>
        <n x="43"/>
      </t>
    </mdx>
    <mdx n="0" f="r">
      <t c="2">
        <n x="79"/>
        <n x="80"/>
      </t>
    </mdx>
    <mdx n="0" f="v">
      <t c="4" fi="0">
        <n x="1"/>
        <n x="37"/>
        <n x="3"/>
        <n x="81" s="1"/>
      </t>
    </mdx>
    <mdx n="0" f="v">
      <t c="3" fi="0">
        <n x="1"/>
        <n x="5"/>
        <n x="81" s="1"/>
      </t>
    </mdx>
    <mdx n="0" f="v">
      <t c="3" fi="0">
        <n x="1"/>
        <n x="3"/>
        <n x="81" s="1"/>
      </t>
    </mdx>
    <mdx n="0" f="v">
      <t c="4" fi="0">
        <n x="6"/>
        <n x="2"/>
        <n x="3"/>
        <n x="81" s="1"/>
      </t>
    </mdx>
    <mdx n="0" f="v">
      <t c="3" fi="0">
        <n x="6"/>
        <n x="5"/>
        <n x="81" s="1"/>
      </t>
    </mdx>
    <mdx n="0" f="v">
      <t c="3" fi="0">
        <n x="6"/>
        <n x="3"/>
        <n x="81" s="1"/>
      </t>
    </mdx>
    <mdx n="0" f="v">
      <t c="4" fi="0">
        <n x="8"/>
        <n x="13"/>
        <n x="3"/>
        <n x="81" s="1"/>
      </t>
    </mdx>
    <mdx n="0" f="v">
      <t c="3" fi="0">
        <n x="8"/>
        <n x="5"/>
        <n x="81" s="1"/>
      </t>
    </mdx>
    <mdx n="0" f="v">
      <t c="3" fi="0">
        <n x="8"/>
        <n x="3"/>
        <n x="81" s="1"/>
      </t>
    </mdx>
    <mdx n="0" f="v">
      <t c="4" fi="0">
        <n x="10"/>
        <n x="13"/>
        <n x="3"/>
        <n x="81" s="1"/>
      </t>
    </mdx>
    <mdx n="0" f="v">
      <t c="3" fi="0">
        <n x="10"/>
        <n x="5"/>
        <n x="81" s="1"/>
      </t>
    </mdx>
    <mdx n="0" f="v">
      <t c="3" fi="0">
        <n x="10"/>
        <n x="3"/>
        <n x="81" s="1"/>
      </t>
    </mdx>
    <mdx n="0" f="v">
      <t c="4" fi="0">
        <n x="12"/>
        <n x="2"/>
        <n x="3"/>
        <n x="81" s="1"/>
      </t>
    </mdx>
    <mdx n="0" f="v">
      <t c="3" fi="0">
        <n x="12"/>
        <n x="5"/>
        <n x="81" s="1"/>
      </t>
    </mdx>
    <mdx n="0" f="v">
      <t c="3" fi="0">
        <n x="12"/>
        <n x="3"/>
        <n x="81" s="1"/>
      </t>
    </mdx>
    <mdx n="0" f="v">
      <t c="4" fi="0">
        <n x="14"/>
        <n x="2"/>
        <n x="3"/>
        <n x="81" s="1"/>
      </t>
    </mdx>
    <mdx n="0" f="v">
      <t c="3" fi="0">
        <n x="14"/>
        <n x="5"/>
        <n x="81" s="1"/>
      </t>
    </mdx>
    <mdx n="0" f="v">
      <t c="3" fi="0">
        <n x="14"/>
        <n x="3"/>
        <n x="81" s="1"/>
      </t>
    </mdx>
    <mdx n="0" f="v">
      <t c="4" fi="0">
        <n x="16"/>
        <n x="13"/>
        <n x="3"/>
        <n x="81" s="1"/>
      </t>
    </mdx>
    <mdx n="0" f="v">
      <t c="3" fi="0">
        <n x="16"/>
        <n x="5"/>
        <n x="81" s="1"/>
      </t>
    </mdx>
    <mdx n="0" f="v">
      <t c="3" fi="0">
        <n x="16"/>
        <n x="3"/>
        <n x="81" s="1"/>
      </t>
    </mdx>
    <mdx n="0" f="v">
      <t c="4" fi="0">
        <n x="17"/>
        <n x="7"/>
        <n x="3"/>
        <n x="81" s="1"/>
      </t>
    </mdx>
    <mdx n="0" f="v">
      <t c="3" fi="0">
        <n x="17"/>
        <n x="5"/>
        <n x="81" s="1"/>
      </t>
    </mdx>
    <mdx n="0" f="v">
      <t c="3" fi="0">
        <n x="17"/>
        <n x="3"/>
        <n x="81" s="1"/>
      </t>
    </mdx>
    <mdx n="0" f="v">
      <t c="4" fi="0">
        <n x="18"/>
        <n x="13"/>
        <n x="3"/>
        <n x="81" s="1"/>
      </t>
    </mdx>
    <mdx n="0" f="v">
      <t c="3" fi="0">
        <n x="18"/>
        <n x="5"/>
        <n x="81" s="1"/>
      </t>
    </mdx>
    <mdx n="0" f="v">
      <t c="3" fi="0">
        <n x="18"/>
        <n x="3"/>
        <n x="81" s="1"/>
      </t>
    </mdx>
    <mdx n="0" f="v">
      <t c="4" fi="0">
        <n x="19"/>
        <n x="15"/>
        <n x="3"/>
        <n x="81" s="1"/>
      </t>
    </mdx>
    <mdx n="0" f="v">
      <t c="3" fi="0">
        <n x="19"/>
        <n x="5"/>
        <n x="81" s="1"/>
      </t>
    </mdx>
    <mdx n="0" f="v">
      <t c="3" fi="0">
        <n x="19"/>
        <n x="3"/>
        <n x="81" s="1"/>
      </t>
    </mdx>
    <mdx n="0" f="v">
      <t c="4" fi="0">
        <n x="20"/>
        <n x="2"/>
        <n x="3"/>
        <n x="81" s="1"/>
      </t>
    </mdx>
    <mdx n="0" f="v">
      <t c="3" fi="0">
        <n x="20"/>
        <n x="5"/>
        <n x="81" s="1"/>
      </t>
    </mdx>
    <mdx n="0" f="v">
      <t c="3" fi="0">
        <n x="20"/>
        <n x="3"/>
        <n x="81" s="1"/>
      </t>
    </mdx>
    <mdx n="0" f="v">
      <t c="4" fi="0">
        <n x="21"/>
        <n x="2"/>
        <n x="3"/>
        <n x="81" s="1"/>
      </t>
    </mdx>
    <mdx n="0" f="v">
      <t c="3" fi="0">
        <n x="21"/>
        <n x="5"/>
        <n x="81" s="1"/>
      </t>
    </mdx>
    <mdx n="0" f="v">
      <t c="3" fi="0">
        <n x="21"/>
        <n x="3"/>
        <n x="81" s="1"/>
      </t>
    </mdx>
    <mdx n="0" f="v">
      <t c="4" fi="0">
        <n x="22"/>
        <n x="2"/>
        <n x="3"/>
        <n x="81" s="1"/>
      </t>
    </mdx>
    <mdx n="0" f="v">
      <t c="3" fi="0">
        <n x="22"/>
        <n x="5"/>
        <n x="81" s="1"/>
      </t>
    </mdx>
    <mdx n="0" f="v">
      <t c="3" fi="0">
        <n x="22"/>
        <n x="3"/>
        <n x="81" s="1"/>
      </t>
    </mdx>
    <mdx n="0" f="v">
      <t c="4" fi="0">
        <n x="23"/>
        <n x="13"/>
        <n x="3"/>
        <n x="81" s="1"/>
      </t>
    </mdx>
    <mdx n="0" f="v">
      <t c="3" fi="0">
        <n x="23"/>
        <n x="5"/>
        <n x="81" s="1"/>
      </t>
    </mdx>
    <mdx n="0" f="v">
      <t c="3" fi="0">
        <n x="23"/>
        <n x="3"/>
        <n x="81" s="1"/>
      </t>
    </mdx>
    <mdx n="0" f="v">
      <t c="4" fi="0">
        <n x="24"/>
        <n x="2"/>
        <n x="3"/>
        <n x="81" s="1"/>
      </t>
    </mdx>
    <mdx n="0" f="v">
      <t c="3" fi="0">
        <n x="24"/>
        <n x="5"/>
        <n x="81" s="1"/>
      </t>
    </mdx>
    <mdx n="0" f="v">
      <t c="3" fi="0">
        <n x="24"/>
        <n x="3"/>
        <n x="81" s="1"/>
      </t>
    </mdx>
    <mdx n="0" f="v">
      <t c="4" fi="0">
        <n x="25"/>
        <n x="13"/>
        <n x="3"/>
        <n x="81" s="1"/>
      </t>
    </mdx>
    <mdx n="0" f="v">
      <t c="3" fi="0">
        <n x="25"/>
        <n x="5"/>
        <n x="81" s="1"/>
      </t>
    </mdx>
    <mdx n="0" f="v">
      <t c="3" fi="0">
        <n x="25"/>
        <n x="3"/>
        <n x="81" s="1"/>
      </t>
    </mdx>
    <mdx n="0" f="v">
      <t c="4" fi="0">
        <n x="26"/>
        <n x="2"/>
        <n x="3"/>
        <n x="81" s="1"/>
      </t>
    </mdx>
    <mdx n="0" f="v">
      <t c="3" fi="0">
        <n x="26"/>
        <n x="5"/>
        <n x="81" s="1"/>
      </t>
    </mdx>
    <mdx n="0" f="v">
      <t c="3" fi="0">
        <n x="26"/>
        <n x="3"/>
        <n x="81" s="1"/>
      </t>
    </mdx>
    <mdx n="0" f="v">
      <t c="4" fi="0">
        <n x="27"/>
        <n x="13"/>
        <n x="3"/>
        <n x="81" s="1"/>
      </t>
    </mdx>
    <mdx n="0" f="v">
      <t c="3" fi="0">
        <n x="27"/>
        <n x="5"/>
        <n x="81" s="1"/>
      </t>
    </mdx>
    <mdx n="0" f="v">
      <t c="3" fi="0">
        <n x="27"/>
        <n x="3"/>
        <n x="81" s="1"/>
      </t>
    </mdx>
    <mdx n="0" f="v">
      <t c="4" fi="0">
        <n x="28"/>
        <n x="15"/>
        <n x="3"/>
        <n x="81" s="1"/>
      </t>
    </mdx>
    <mdx n="0" f="v">
      <t c="3" fi="0">
        <n x="28"/>
        <n x="5"/>
        <n x="81" s="1"/>
      </t>
    </mdx>
    <mdx n="0" f="v">
      <t c="3" fi="0">
        <n x="28"/>
        <n x="3"/>
        <n x="81" s="1"/>
      </t>
    </mdx>
    <mdx n="0" f="v">
      <t c="4" fi="0">
        <n x="29"/>
        <n x="13"/>
        <n x="3"/>
        <n x="81" s="1"/>
      </t>
    </mdx>
    <mdx n="0" f="v">
      <t c="3" fi="0">
        <n x="29"/>
        <n x="5"/>
        <n x="81" s="1"/>
      </t>
    </mdx>
    <mdx n="0" f="v">
      <t c="3" fi="0">
        <n x="29"/>
        <n x="3"/>
        <n x="81" s="1"/>
      </t>
    </mdx>
    <mdx n="0" f="v">
      <t c="4" fi="0">
        <n x="30"/>
        <n x="15"/>
        <n x="3"/>
        <n x="81" s="1"/>
      </t>
    </mdx>
    <mdx n="0" f="v">
      <t c="3" fi="0">
        <n x="30"/>
        <n x="5"/>
        <n x="81" s="1"/>
      </t>
    </mdx>
    <mdx n="0" f="v">
      <t c="3" fi="0">
        <n x="30"/>
        <n x="3"/>
        <n x="81" s="1"/>
      </t>
    </mdx>
    <mdx n="0" f="v">
      <t c="4" fi="0">
        <n x="31"/>
        <n x="7"/>
        <n x="3"/>
        <n x="81" s="1"/>
      </t>
    </mdx>
    <mdx n="0" f="v">
      <t c="3" fi="0">
        <n x="31"/>
        <n x="5"/>
        <n x="81" s="1"/>
      </t>
    </mdx>
    <mdx n="0" f="v">
      <t c="3" fi="0">
        <n x="31"/>
        <n x="3"/>
        <n x="81" s="1"/>
      </t>
    </mdx>
    <mdx n="0" f="v">
      <t c="4" fi="0">
        <n x="32"/>
        <n x="13"/>
        <n x="3"/>
        <n x="81" s="1"/>
      </t>
    </mdx>
    <mdx n="0" f="v">
      <t c="3" fi="0">
        <n x="32"/>
        <n x="5"/>
        <n x="81" s="1"/>
      </t>
    </mdx>
    <mdx n="0" f="v">
      <t c="3" fi="0">
        <n x="32"/>
        <n x="3"/>
        <n x="81" s="1"/>
      </t>
    </mdx>
    <mdx n="0" f="v">
      <t c="4" fi="0">
        <n x="33"/>
        <n x="9"/>
        <n x="3"/>
        <n x="81" s="1"/>
      </t>
    </mdx>
    <mdx n="0" f="v">
      <t c="3" fi="0">
        <n x="33"/>
        <n x="5"/>
        <n x="81" s="1"/>
      </t>
    </mdx>
    <mdx n="0" f="v">
      <t c="3" fi="0">
        <n x="33"/>
        <n x="3"/>
        <n x="81" s="1"/>
      </t>
    </mdx>
    <mdx n="0" f="v">
      <t c="4" fi="0">
        <n x="34"/>
        <n x="2"/>
        <n x="3"/>
        <n x="81" s="1"/>
      </t>
    </mdx>
    <mdx n="0" f="v">
      <t c="3" fi="0">
        <n x="34"/>
        <n x="5"/>
        <n x="81" s="1"/>
      </t>
    </mdx>
    <mdx n="0" f="v">
      <t c="3" fi="0">
        <n x="34"/>
        <n x="3"/>
        <n x="81" s="1"/>
      </t>
    </mdx>
    <mdx n="0" f="v">
      <t c="4" fi="0">
        <n x="35"/>
        <n x="13"/>
        <n x="3"/>
        <n x="81" s="1"/>
      </t>
    </mdx>
    <mdx n="0" f="v">
      <t c="3" fi="0">
        <n x="35"/>
        <n x="5"/>
        <n x="81" s="1"/>
      </t>
    </mdx>
    <mdx n="0" f="v">
      <t c="3" fi="0">
        <n x="35"/>
        <n x="3"/>
        <n x="81" s="1"/>
      </t>
    </mdx>
    <mdx n="0" f="v">
      <t c="4" fi="0">
        <n x="36"/>
        <n x="2"/>
        <n x="3"/>
        <n x="81" s="1"/>
      </t>
    </mdx>
    <mdx n="0" f="v">
      <t c="3" fi="0">
        <n x="36"/>
        <n x="5"/>
        <n x="81" s="1"/>
      </t>
    </mdx>
    <mdx n="0" f="v">
      <t c="3" fi="0">
        <n x="36"/>
        <n x="3"/>
        <n x="81" s="1"/>
      </t>
    </mdx>
    <mdx n="0" f="r">
      <t c="2">
        <n x="82"/>
        <n x="43"/>
      </t>
    </mdx>
    <mdx n="0" f="r">
      <t c="2">
        <n x="82"/>
        <n x="83"/>
      </t>
    </mdx>
    <mdx n="0" f="v">
      <t c="4" fi="0">
        <n x="1"/>
        <n x="15"/>
        <n x="3"/>
        <n x="84" s="1"/>
      </t>
    </mdx>
    <mdx n="0" f="v">
      <t c="3" fi="0">
        <n x="1"/>
        <n x="5"/>
        <n x="84" s="1"/>
      </t>
    </mdx>
    <mdx n="0" f="v">
      <t c="3" fi="0">
        <n x="1"/>
        <n x="3"/>
        <n x="84" s="1"/>
      </t>
    </mdx>
    <mdx n="0" f="v">
      <t c="4" fi="0">
        <n x="6"/>
        <n x="2"/>
        <n x="3"/>
        <n x="84" s="1"/>
      </t>
    </mdx>
    <mdx n="0" f="v">
      <t c="3" fi="0">
        <n x="6"/>
        <n x="5"/>
        <n x="84" s="1"/>
      </t>
    </mdx>
    <mdx n="0" f="v">
      <t c="3" fi="0">
        <n x="6"/>
        <n x="3"/>
        <n x="84" s="1"/>
      </t>
    </mdx>
    <mdx n="0" f="v">
      <t c="4" fi="0">
        <n x="8"/>
        <n x="9"/>
        <n x="3"/>
        <n x="84" s="1"/>
      </t>
    </mdx>
    <mdx n="0" f="v">
      <t c="3" fi="0">
        <n x="8"/>
        <n x="5"/>
        <n x="84" s="1"/>
      </t>
    </mdx>
    <mdx n="0" f="v">
      <t c="3" fi="0">
        <n x="8"/>
        <n x="3"/>
        <n x="84" s="1"/>
      </t>
    </mdx>
    <mdx n="0" f="v">
      <t c="4" fi="0">
        <n x="10"/>
        <n x="15"/>
        <n x="3"/>
        <n x="84" s="1"/>
      </t>
    </mdx>
    <mdx n="0" f="v">
      <t c="3" fi="0">
        <n x="10"/>
        <n x="5"/>
        <n x="84" s="1"/>
      </t>
    </mdx>
    <mdx n="0" f="v">
      <t c="3" fi="0">
        <n x="10"/>
        <n x="3"/>
        <n x="84" s="1"/>
      </t>
    </mdx>
    <mdx n="0" f="v">
      <t c="4" fi="0">
        <n x="12"/>
        <n x="2"/>
        <n x="3"/>
        <n x="84" s="1"/>
      </t>
    </mdx>
    <mdx n="0" f="v">
      <t c="3" fi="0">
        <n x="12"/>
        <n x="5"/>
        <n x="84" s="1"/>
      </t>
    </mdx>
    <mdx n="0" f="v">
      <t c="3" fi="0">
        <n x="12"/>
        <n x="3"/>
        <n x="84" s="1"/>
      </t>
    </mdx>
    <mdx n="0" f="v">
      <t c="4" fi="0">
        <n x="14"/>
        <n x="15"/>
        <n x="3"/>
        <n x="84" s="1"/>
      </t>
    </mdx>
    <mdx n="0" f="v">
      <t c="3" fi="0">
        <n x="14"/>
        <n x="5"/>
        <n x="84" s="1"/>
      </t>
    </mdx>
    <mdx n="0" f="v">
      <t c="3" fi="0">
        <n x="14"/>
        <n x="3"/>
        <n x="84" s="1"/>
      </t>
    </mdx>
    <mdx n="0" f="v">
      <t c="4" fi="0">
        <n x="16"/>
        <n x="9"/>
        <n x="3"/>
        <n x="84" s="1"/>
      </t>
    </mdx>
    <mdx n="0" f="v">
      <t c="3" fi="0">
        <n x="16"/>
        <n x="5"/>
        <n x="84" s="1"/>
      </t>
    </mdx>
    <mdx n="0" f="v">
      <t c="3" fi="0">
        <n x="16"/>
        <n x="3"/>
        <n x="84" s="1"/>
      </t>
    </mdx>
    <mdx n="0" f="v">
      <t c="4" fi="0">
        <n x="17"/>
        <n x="2"/>
        <n x="3"/>
        <n x="84" s="1"/>
      </t>
    </mdx>
    <mdx n="0" f="v">
      <t c="3" fi="0">
        <n x="17"/>
        <n x="5"/>
        <n x="84" s="1"/>
      </t>
    </mdx>
    <mdx n="0" f="v">
      <t c="3" fi="0">
        <n x="17"/>
        <n x="3"/>
        <n x="84" s="1"/>
      </t>
    </mdx>
    <mdx n="0" f="v">
      <t c="4" fi="0">
        <n x="18"/>
        <n x="13"/>
        <n x="3"/>
        <n x="84" s="1"/>
      </t>
    </mdx>
    <mdx n="0" f="v">
      <t c="3" fi="0">
        <n x="18"/>
        <n x="5"/>
        <n x="84" s="1"/>
      </t>
    </mdx>
    <mdx n="0" f="v">
      <t c="3" fi="0">
        <n x="18"/>
        <n x="3"/>
        <n x="84" s="1"/>
      </t>
    </mdx>
    <mdx n="0" f="v">
      <t c="4" fi="0">
        <n x="19"/>
        <n x="9"/>
        <n x="3"/>
        <n x="84" s="1"/>
      </t>
    </mdx>
    <mdx n="0" f="v">
      <t c="3" fi="0">
        <n x="19"/>
        <n x="5"/>
        <n x="84" s="1"/>
      </t>
    </mdx>
    <mdx n="0" f="v">
      <t c="3" fi="0">
        <n x="19"/>
        <n x="3"/>
        <n x="84" s="1"/>
      </t>
    </mdx>
    <mdx n="0" f="v">
      <t c="4" fi="0">
        <n x="20"/>
        <n x="7"/>
        <n x="3"/>
        <n x="84" s="1"/>
      </t>
    </mdx>
    <mdx n="0" f="v">
      <t c="3" fi="0">
        <n x="20"/>
        <n x="5"/>
        <n x="84" s="1"/>
      </t>
    </mdx>
    <mdx n="0" f="v">
      <t c="3" fi="0">
        <n x="20"/>
        <n x="3"/>
        <n x="84" s="1"/>
      </t>
    </mdx>
    <mdx n="0" f="v">
      <t c="4" fi="0">
        <n x="21"/>
        <n x="13"/>
        <n x="3"/>
        <n x="84" s="1"/>
      </t>
    </mdx>
    <mdx n="0" f="v">
      <t c="3" fi="0">
        <n x="21"/>
        <n x="5"/>
        <n x="84" s="1"/>
      </t>
    </mdx>
    <mdx n="0" f="v">
      <t c="3" fi="0">
        <n x="21"/>
        <n x="3"/>
        <n x="84" s="1"/>
      </t>
    </mdx>
    <mdx n="0" f="v">
      <t c="4" fi="0">
        <n x="22"/>
        <n x="7"/>
        <n x="3"/>
        <n x="84" s="1"/>
      </t>
    </mdx>
    <mdx n="0" f="v">
      <t c="3" fi="0">
        <n x="22"/>
        <n x="5"/>
        <n x="84" s="1"/>
      </t>
    </mdx>
    <mdx n="0" f="v">
      <t c="3" fi="0">
        <n x="22"/>
        <n x="3"/>
        <n x="84" s="1"/>
      </t>
    </mdx>
    <mdx n="0" f="v">
      <t c="4" fi="0">
        <n x="23"/>
        <n x="11"/>
        <n x="3"/>
        <n x="84" s="1"/>
      </t>
    </mdx>
    <mdx n="0" f="v">
      <t c="3" fi="0">
        <n x="23"/>
        <n x="5"/>
        <n x="84" s="1"/>
      </t>
    </mdx>
    <mdx n="0" f="v">
      <t c="3" fi="0">
        <n x="23"/>
        <n x="3"/>
        <n x="84" s="1"/>
      </t>
    </mdx>
    <mdx n="0" f="v">
      <t c="4" fi="0">
        <n x="24"/>
        <n x="13"/>
        <n x="3"/>
        <n x="84" s="1"/>
      </t>
    </mdx>
    <mdx n="0" f="v">
      <t c="3" fi="0">
        <n x="24"/>
        <n x="5"/>
        <n x="84" s="1"/>
      </t>
    </mdx>
    <mdx n="0" f="v">
      <t c="3" fi="0">
        <n x="24"/>
        <n x="3"/>
        <n x="84" s="1"/>
      </t>
    </mdx>
    <mdx n="0" f="v">
      <t c="4" fi="0">
        <n x="25"/>
        <n x="9"/>
        <n x="3"/>
        <n x="84" s="1"/>
      </t>
    </mdx>
    <mdx n="0" f="v">
      <t c="3" fi="0">
        <n x="25"/>
        <n x="5"/>
        <n x="84" s="1"/>
      </t>
    </mdx>
    <mdx n="0" f="v">
      <t c="3" fi="0">
        <n x="25"/>
        <n x="3"/>
        <n x="84" s="1"/>
      </t>
    </mdx>
    <mdx n="0" f="v">
      <t c="4" fi="0">
        <n x="26"/>
        <n x="13"/>
        <n x="3"/>
        <n x="84" s="1"/>
      </t>
    </mdx>
    <mdx n="0" f="v">
      <t c="3" fi="0">
        <n x="26"/>
        <n x="5"/>
        <n x="84" s="1"/>
      </t>
    </mdx>
    <mdx n="0" f="v">
      <t c="3" fi="0">
        <n x="26"/>
        <n x="3"/>
        <n x="84" s="1"/>
      </t>
    </mdx>
    <mdx n="0" f="v">
      <t c="4" fi="0">
        <n x="27"/>
        <n x="2"/>
        <n x="3"/>
        <n x="84" s="1"/>
      </t>
    </mdx>
    <mdx n="0" f="v">
      <t c="3" fi="0">
        <n x="27"/>
        <n x="5"/>
        <n x="84" s="1"/>
      </t>
    </mdx>
    <mdx n="0" f="v">
      <t c="3" fi="0">
        <n x="27"/>
        <n x="3"/>
        <n x="84" s="1"/>
      </t>
    </mdx>
    <mdx n="0" f="v">
      <t c="4" fi="0">
        <n x="28"/>
        <n x="13"/>
        <n x="3"/>
        <n x="84" s="1"/>
      </t>
    </mdx>
    <mdx n="0" f="v">
      <t c="3" fi="0">
        <n x="28"/>
        <n x="5"/>
        <n x="84" s="1"/>
      </t>
    </mdx>
    <mdx n="0" f="v">
      <t c="3" fi="0">
        <n x="28"/>
        <n x="3"/>
        <n x="84" s="1"/>
      </t>
    </mdx>
    <mdx n="0" f="v">
      <t c="4" fi="0">
        <n x="29"/>
        <n x="13"/>
        <n x="3"/>
        <n x="84" s="1"/>
      </t>
    </mdx>
    <mdx n="0" f="v">
      <t c="3" fi="0">
        <n x="29"/>
        <n x="5"/>
        <n x="84" s="1"/>
      </t>
    </mdx>
    <mdx n="0" f="v">
      <t c="3" fi="0">
        <n x="29"/>
        <n x="3"/>
        <n x="84" s="1"/>
      </t>
    </mdx>
    <mdx n="0" f="v">
      <t c="4" fi="0">
        <n x="30"/>
        <n x="37"/>
        <n x="3"/>
        <n x="84" s="1"/>
      </t>
    </mdx>
    <mdx n="0" f="v">
      <t c="3" fi="0">
        <n x="30"/>
        <n x="5"/>
        <n x="84" s="1"/>
      </t>
    </mdx>
    <mdx n="0" f="v">
      <t c="3" fi="0">
        <n x="30"/>
        <n x="3"/>
        <n x="84" s="1"/>
      </t>
    </mdx>
    <mdx n="0" f="v">
      <t c="4" fi="0">
        <n x="31"/>
        <n x="7"/>
        <n x="3"/>
        <n x="84" s="1"/>
      </t>
    </mdx>
    <mdx n="0" f="v">
      <t c="3" fi="0">
        <n x="31"/>
        <n x="5"/>
        <n x="84" s="1"/>
      </t>
    </mdx>
    <mdx n="0" f="v">
      <t c="3" fi="0">
        <n x="31"/>
        <n x="3"/>
        <n x="84" s="1"/>
      </t>
    </mdx>
    <mdx n="0" f="v">
      <t c="4" fi="0">
        <n x="32"/>
        <n x="15"/>
        <n x="3"/>
        <n x="84" s="1"/>
      </t>
    </mdx>
    <mdx n="0" f="v">
      <t c="3" fi="0">
        <n x="32"/>
        <n x="5"/>
        <n x="84" s="1"/>
      </t>
    </mdx>
    <mdx n="0" f="v">
      <t c="3" fi="0">
        <n x="32"/>
        <n x="3"/>
        <n x="84" s="1"/>
      </t>
    </mdx>
    <mdx n="0" f="v">
      <t c="4" fi="0">
        <n x="33"/>
        <n x="2"/>
        <n x="3"/>
        <n x="84" s="1"/>
      </t>
    </mdx>
    <mdx n="0" f="v">
      <t c="3" fi="0">
        <n x="33"/>
        <n x="5"/>
        <n x="84" s="1"/>
      </t>
    </mdx>
    <mdx n="0" f="v">
      <t c="3" fi="0">
        <n x="33"/>
        <n x="3"/>
        <n x="84" s="1"/>
      </t>
    </mdx>
    <mdx n="0" f="v">
      <t c="4" fi="0">
        <n x="34"/>
        <n x="7"/>
        <n x="3"/>
        <n x="84" s="1"/>
      </t>
    </mdx>
    <mdx n="0" f="v">
      <t c="3" fi="0">
        <n x="34"/>
        <n x="5"/>
        <n x="84" s="1"/>
      </t>
    </mdx>
    <mdx n="0" f="v">
      <t c="3" fi="0">
        <n x="34"/>
        <n x="3"/>
        <n x="84" s="1"/>
      </t>
    </mdx>
    <mdx n="0" f="v">
      <t c="4" fi="0">
        <n x="35"/>
        <n x="2"/>
        <n x="3"/>
        <n x="84" s="1"/>
      </t>
    </mdx>
    <mdx n="0" f="v">
      <t c="3" fi="0">
        <n x="35"/>
        <n x="5"/>
        <n x="84" s="1"/>
      </t>
    </mdx>
    <mdx n="0" f="v">
      <t c="3" fi="0">
        <n x="35"/>
        <n x="3"/>
        <n x="84" s="1"/>
      </t>
    </mdx>
    <mdx n="0" f="v">
      <t c="4" fi="0">
        <n x="36"/>
        <n x="7"/>
        <n x="3"/>
        <n x="84" s="1"/>
      </t>
    </mdx>
    <mdx n="0" f="v">
      <t c="3" fi="0">
        <n x="36"/>
        <n x="5"/>
        <n x="84" s="1"/>
      </t>
    </mdx>
    <mdx n="0" f="v">
      <t c="3" fi="0">
        <n x="36"/>
        <n x="3"/>
        <n x="84" s="1"/>
      </t>
    </mdx>
    <mdx n="0" f="r">
      <t c="2">
        <n x="85"/>
        <n x="43"/>
      </t>
    </mdx>
    <mdx n="0" f="r">
      <t c="2">
        <n x="85"/>
        <n x="86"/>
      </t>
    </mdx>
    <mdx n="0" f="v">
      <t c="4" fi="0">
        <n x="1"/>
        <n x="13"/>
        <n x="3"/>
        <n x="87" s="1"/>
      </t>
    </mdx>
    <mdx n="0" f="v">
      <t c="3" fi="0">
        <n x="1"/>
        <n x="5"/>
        <n x="87" s="1"/>
      </t>
    </mdx>
    <mdx n="0" f="v">
      <t c="3" fi="0">
        <n x="1"/>
        <n x="3"/>
        <n x="87" s="1"/>
      </t>
    </mdx>
    <mdx n="0" f="v">
      <t c="4" fi="0">
        <n x="6"/>
        <n x="13"/>
        <n x="3"/>
        <n x="87" s="1"/>
      </t>
    </mdx>
    <mdx n="0" f="v">
      <t c="3" fi="0">
        <n x="6"/>
        <n x="5"/>
        <n x="87" s="1"/>
      </t>
    </mdx>
    <mdx n="0" f="v">
      <t c="3" fi="0">
        <n x="6"/>
        <n x="3"/>
        <n x="87" s="1"/>
      </t>
    </mdx>
    <mdx n="0" f="v">
      <t c="4" fi="0">
        <n x="8"/>
        <n x="13"/>
        <n x="3"/>
        <n x="87" s="1"/>
      </t>
    </mdx>
    <mdx n="0" f="v">
      <t c="3" fi="0">
        <n x="8"/>
        <n x="5"/>
        <n x="87" s="1"/>
      </t>
    </mdx>
    <mdx n="0" f="v">
      <t c="3" fi="0">
        <n x="8"/>
        <n x="3"/>
        <n x="87" s="1"/>
      </t>
    </mdx>
    <mdx n="0" f="v">
      <t c="4" fi="0">
        <n x="10"/>
        <n x="7"/>
        <n x="3"/>
        <n x="87" s="1"/>
      </t>
    </mdx>
    <mdx n="0" f="v">
      <t c="3" fi="0">
        <n x="10"/>
        <n x="5"/>
        <n x="87" s="1"/>
      </t>
    </mdx>
    <mdx n="0" f="v">
      <t c="3" fi="0">
        <n x="10"/>
        <n x="3"/>
        <n x="87" s="1"/>
      </t>
    </mdx>
    <mdx n="0" f="v">
      <t c="4" fi="0">
        <n x="12"/>
        <n x="13"/>
        <n x="3"/>
        <n x="87" s="1"/>
      </t>
    </mdx>
    <mdx n="0" f="v">
      <t c="3" fi="0">
        <n x="12"/>
        <n x="5"/>
        <n x="87" s="1"/>
      </t>
    </mdx>
    <mdx n="0" f="v">
      <t c="3" fi="0">
        <n x="12"/>
        <n x="3"/>
        <n x="87" s="1"/>
      </t>
    </mdx>
    <mdx n="0" f="v">
      <t c="4" fi="0">
        <n x="14"/>
        <n x="13"/>
        <n x="3"/>
        <n x="87" s="1"/>
      </t>
    </mdx>
    <mdx n="0" f="v">
      <t c="3" fi="0">
        <n x="14"/>
        <n x="5"/>
        <n x="87" s="1"/>
      </t>
    </mdx>
    <mdx n="0" f="v">
      <t c="3" fi="0">
        <n x="14"/>
        <n x="3"/>
        <n x="87" s="1"/>
      </t>
    </mdx>
    <mdx n="0" f="v">
      <t c="4" fi="0">
        <n x="16"/>
        <n x="2"/>
        <n x="3"/>
        <n x="87" s="1"/>
      </t>
    </mdx>
    <mdx n="0" f="v">
      <t c="3" fi="0">
        <n x="16"/>
        <n x="5"/>
        <n x="87" s="1"/>
      </t>
    </mdx>
    <mdx n="0" f="v">
      <t c="3" fi="0">
        <n x="16"/>
        <n x="3"/>
        <n x="87" s="1"/>
      </t>
    </mdx>
    <mdx n="0" f="v">
      <t c="4" fi="0">
        <n x="17"/>
        <n x="2"/>
        <n x="3"/>
        <n x="87" s="1"/>
      </t>
    </mdx>
    <mdx n="0" f="v">
      <t c="3" fi="0">
        <n x="17"/>
        <n x="5"/>
        <n x="87" s="1"/>
      </t>
    </mdx>
    <mdx n="0" f="v">
      <t c="3" fi="0">
        <n x="17"/>
        <n x="3"/>
        <n x="87" s="1"/>
      </t>
    </mdx>
    <mdx n="0" f="v">
      <t c="4" fi="0">
        <n x="18"/>
        <n x="15"/>
        <n x="3"/>
        <n x="87" s="1"/>
      </t>
    </mdx>
    <mdx n="0" f="v">
      <t c="3" fi="0">
        <n x="18"/>
        <n x="5"/>
        <n x="87" s="1"/>
      </t>
    </mdx>
    <mdx n="0" f="v">
      <t c="3" fi="0">
        <n x="18"/>
        <n x="3"/>
        <n x="87" s="1"/>
      </t>
    </mdx>
    <mdx n="0" f="v">
      <t c="4" fi="0">
        <n x="19"/>
        <n x="2"/>
        <n x="3"/>
        <n x="87" s="1"/>
      </t>
    </mdx>
    <mdx n="0" f="v">
      <t c="3" fi="0">
        <n x="19"/>
        <n x="5"/>
        <n x="87" s="1"/>
      </t>
    </mdx>
    <mdx n="0" f="v">
      <t c="3" fi="0">
        <n x="19"/>
        <n x="3"/>
        <n x="87" s="1"/>
      </t>
    </mdx>
    <mdx n="0" f="v">
      <t c="4" fi="0">
        <n x="20"/>
        <n x="13"/>
        <n x="3"/>
        <n x="87" s="1"/>
      </t>
    </mdx>
    <mdx n="0" f="v">
      <t c="3" fi="0">
        <n x="20"/>
        <n x="5"/>
        <n x="87" s="1"/>
      </t>
    </mdx>
    <mdx n="0" f="v">
      <t c="3" fi="0">
        <n x="20"/>
        <n x="3"/>
        <n x="87" s="1"/>
      </t>
    </mdx>
    <mdx n="0" f="v">
      <t c="4" fi="0">
        <n x="21"/>
        <n x="13"/>
        <n x="3"/>
        <n x="87" s="1"/>
      </t>
    </mdx>
    <mdx n="0" f="v">
      <t c="3" fi="0">
        <n x="21"/>
        <n x="5"/>
        <n x="87" s="1"/>
      </t>
    </mdx>
    <mdx n="0" f="v">
      <t c="3" fi="0">
        <n x="21"/>
        <n x="3"/>
        <n x="87" s="1"/>
      </t>
    </mdx>
    <mdx n="0" f="v">
      <t c="4" fi="0">
        <n x="22"/>
        <n x="13"/>
        <n x="3"/>
        <n x="87" s="1"/>
      </t>
    </mdx>
    <mdx n="0" f="v">
      <t c="3" fi="0">
        <n x="22"/>
        <n x="5"/>
        <n x="87" s="1"/>
      </t>
    </mdx>
    <mdx n="0" f="v">
      <t c="3" fi="0">
        <n x="22"/>
        <n x="3"/>
        <n x="87" s="1"/>
      </t>
    </mdx>
    <mdx n="0" f="v">
      <t c="4" fi="0">
        <n x="23"/>
        <n x="2"/>
        <n x="3"/>
        <n x="87" s="1"/>
      </t>
    </mdx>
    <mdx n="0" f="v">
      <t c="3" fi="0">
        <n x="23"/>
        <n x="5"/>
        <n x="87" s="1"/>
      </t>
    </mdx>
    <mdx n="0" f="v">
      <t c="3" fi="0">
        <n x="23"/>
        <n x="3"/>
        <n x="87" s="1"/>
      </t>
    </mdx>
    <mdx n="0" f="v">
      <t c="4" fi="0">
        <n x="24"/>
        <n x="2"/>
        <n x="3"/>
        <n x="87" s="1"/>
      </t>
    </mdx>
    <mdx n="0" f="v">
      <t c="3" fi="0">
        <n x="24"/>
        <n x="5"/>
        <n x="87" s="1"/>
      </t>
    </mdx>
    <mdx n="0" f="v">
      <t c="3" fi="0">
        <n x="24"/>
        <n x="3"/>
        <n x="87" s="1"/>
      </t>
    </mdx>
    <mdx n="0" f="v">
      <t c="4" fi="0">
        <n x="25"/>
        <n x="13"/>
        <n x="3"/>
        <n x="87" s="1"/>
      </t>
    </mdx>
    <mdx n="0" f="v">
      <t c="3" fi="0">
        <n x="25"/>
        <n x="5"/>
        <n x="87" s="1"/>
      </t>
    </mdx>
    <mdx n="0" f="v">
      <t c="3" fi="0">
        <n x="25"/>
        <n x="3"/>
        <n x="87" s="1"/>
      </t>
    </mdx>
    <mdx n="0" f="v">
      <t c="4" fi="0">
        <n x="26"/>
        <n x="15"/>
        <n x="3"/>
        <n x="87" s="1"/>
      </t>
    </mdx>
    <mdx n="0" f="v">
      <t c="3" fi="0">
        <n x="26"/>
        <n x="5"/>
        <n x="87" s="1"/>
      </t>
    </mdx>
    <mdx n="0" f="v">
      <t c="3" fi="0">
        <n x="26"/>
        <n x="3"/>
        <n x="87" s="1"/>
      </t>
    </mdx>
    <mdx n="0" f="v">
      <t c="4" fi="0">
        <n x="27"/>
        <n x="13"/>
        <n x="3"/>
        <n x="87" s="1"/>
      </t>
    </mdx>
    <mdx n="0" f="v">
      <t c="3" fi="0">
        <n x="27"/>
        <n x="5"/>
        <n x="87" s="1"/>
      </t>
    </mdx>
    <mdx n="0" f="v">
      <t c="3" fi="0">
        <n x="27"/>
        <n x="3"/>
        <n x="87" s="1"/>
      </t>
    </mdx>
    <mdx n="0" f="v">
      <t c="4" fi="0">
        <n x="28"/>
        <n x="15"/>
        <n x="3"/>
        <n x="87" s="1"/>
      </t>
    </mdx>
    <mdx n="0" f="v">
      <t c="3" fi="0">
        <n x="28"/>
        <n x="5"/>
        <n x="87" s="1"/>
      </t>
    </mdx>
    <mdx n="0" f="v">
      <t c="3" fi="0">
        <n x="28"/>
        <n x="3"/>
        <n x="87" s="1"/>
      </t>
    </mdx>
    <mdx n="0" f="v">
      <t c="4" fi="0">
        <n x="29"/>
        <n x="15"/>
        <n x="3"/>
        <n x="87" s="1"/>
      </t>
    </mdx>
    <mdx n="0" f="v">
      <t c="3" fi="0">
        <n x="29"/>
        <n x="5"/>
        <n x="87" s="1"/>
      </t>
    </mdx>
    <mdx n="0" f="v">
      <t c="3" fi="0">
        <n x="29"/>
        <n x="3"/>
        <n x="87" s="1"/>
      </t>
    </mdx>
    <mdx n="0" f="v">
      <t c="4" fi="0">
        <n x="30"/>
        <n x="13"/>
        <n x="3"/>
        <n x="87" s="1"/>
      </t>
    </mdx>
    <mdx n="0" f="v">
      <t c="3" fi="0">
        <n x="30"/>
        <n x="5"/>
        <n x="87" s="1"/>
      </t>
    </mdx>
    <mdx n="0" f="v">
      <t c="3" fi="0">
        <n x="30"/>
        <n x="3"/>
        <n x="87" s="1"/>
      </t>
    </mdx>
    <mdx n="0" f="v">
      <t c="4" fi="0">
        <n x="31"/>
        <n x="2"/>
        <n x="3"/>
        <n x="87" s="1"/>
      </t>
    </mdx>
    <mdx n="0" f="v">
      <t c="3" fi="0">
        <n x="31"/>
        <n x="5"/>
        <n x="87" s="1"/>
      </t>
    </mdx>
    <mdx n="0" f="v">
      <t c="3" fi="0">
        <n x="31"/>
        <n x="3"/>
        <n x="87" s="1"/>
      </t>
    </mdx>
    <mdx n="0" f="v">
      <t c="4" fi="0">
        <n x="32"/>
        <n x="2"/>
        <n x="3"/>
        <n x="87" s="1"/>
      </t>
    </mdx>
    <mdx n="0" f="v">
      <t c="3" fi="0">
        <n x="32"/>
        <n x="5"/>
        <n x="87" s="1"/>
      </t>
    </mdx>
    <mdx n="0" f="v">
      <t c="3" fi="0">
        <n x="32"/>
        <n x="3"/>
        <n x="87" s="1"/>
      </t>
    </mdx>
    <mdx n="0" f="v">
      <t c="4" fi="0">
        <n x="33"/>
        <n x="2"/>
        <n x="3"/>
        <n x="87" s="1"/>
      </t>
    </mdx>
    <mdx n="0" f="v">
      <t c="3" fi="0">
        <n x="33"/>
        <n x="5"/>
        <n x="87" s="1"/>
      </t>
    </mdx>
    <mdx n="0" f="v">
      <t c="3" fi="0">
        <n x="33"/>
        <n x="3"/>
        <n x="87" s="1"/>
      </t>
    </mdx>
    <mdx n="0" f="v">
      <t c="4" fi="0">
        <n x="34"/>
        <n x="2"/>
        <n x="3"/>
        <n x="87" s="1"/>
      </t>
    </mdx>
    <mdx n="0" f="v">
      <t c="3" fi="0">
        <n x="34"/>
        <n x="5"/>
        <n x="87" s="1"/>
      </t>
    </mdx>
    <mdx n="0" f="v">
      <t c="3" fi="0">
        <n x="34"/>
        <n x="3"/>
        <n x="87" s="1"/>
      </t>
    </mdx>
    <mdx n="0" f="v">
      <t c="4" fi="0">
        <n x="35"/>
        <n x="2"/>
        <n x="3"/>
        <n x="87" s="1"/>
      </t>
    </mdx>
    <mdx n="0" f="v">
      <t c="3" fi="0">
        <n x="35"/>
        <n x="5"/>
        <n x="87" s="1"/>
      </t>
    </mdx>
    <mdx n="0" f="v">
      <t c="3" fi="0">
        <n x="35"/>
        <n x="3"/>
        <n x="87" s="1"/>
      </t>
    </mdx>
    <mdx n="0" f="v">
      <t c="4" fi="0">
        <n x="36"/>
        <n x="2"/>
        <n x="3"/>
        <n x="87" s="1"/>
      </t>
    </mdx>
    <mdx n="0" f="v">
      <t c="3" fi="0">
        <n x="36"/>
        <n x="5"/>
        <n x="87" s="1"/>
      </t>
    </mdx>
    <mdx n="0" f="v">
      <t c="3" fi="0">
        <n x="36"/>
        <n x="3"/>
        <n x="87" s="1"/>
      </t>
    </mdx>
    <mdx n="0" f="r">
      <t c="2">
        <n x="88"/>
        <n x="43"/>
      </t>
    </mdx>
    <mdx n="0" f="r">
      <t c="2">
        <n x="88"/>
        <n x="89"/>
      </t>
    </mdx>
  </mdxMetadata>
  <valueMetadata count="144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  <bk>
      <rc t="1" v="895"/>
    </bk>
    <bk>
      <rc t="1" v="896"/>
    </bk>
    <bk>
      <rc t="1" v="897"/>
    </bk>
    <bk>
      <rc t="1" v="898"/>
    </bk>
    <bk>
      <rc t="1" v="899"/>
    </bk>
    <bk>
      <rc t="1" v="900"/>
    </bk>
    <bk>
      <rc t="1" v="901"/>
    </bk>
    <bk>
      <rc t="1" v="902"/>
    </bk>
    <bk>
      <rc t="1" v="903"/>
    </bk>
    <bk>
      <rc t="1" v="904"/>
    </bk>
    <bk>
      <rc t="1" v="905"/>
    </bk>
    <bk>
      <rc t="1" v="906"/>
    </bk>
    <bk>
      <rc t="1" v="907"/>
    </bk>
    <bk>
      <rc t="1" v="908"/>
    </bk>
    <bk>
      <rc t="1" v="909"/>
    </bk>
    <bk>
      <rc t="1" v="910"/>
    </bk>
    <bk>
      <rc t="1" v="911"/>
    </bk>
    <bk>
      <rc t="1" v="912"/>
    </bk>
    <bk>
      <rc t="1" v="913"/>
    </bk>
    <bk>
      <rc t="1" v="914"/>
    </bk>
    <bk>
      <rc t="1" v="915"/>
    </bk>
    <bk>
      <rc t="1" v="916"/>
    </bk>
    <bk>
      <rc t="1" v="917"/>
    </bk>
    <bk>
      <rc t="1" v="918"/>
    </bk>
    <bk>
      <rc t="1" v="919"/>
    </bk>
    <bk>
      <rc t="1" v="920"/>
    </bk>
    <bk>
      <rc t="1" v="921"/>
    </bk>
    <bk>
      <rc t="1" v="922"/>
    </bk>
    <bk>
      <rc t="1" v="923"/>
    </bk>
    <bk>
      <rc t="1" v="924"/>
    </bk>
    <bk>
      <rc t="1" v="925"/>
    </bk>
    <bk>
      <rc t="1" v="926"/>
    </bk>
    <bk>
      <rc t="1" v="927"/>
    </bk>
    <bk>
      <rc t="1" v="928"/>
    </bk>
    <bk>
      <rc t="1" v="929"/>
    </bk>
    <bk>
      <rc t="1" v="930"/>
    </bk>
    <bk>
      <rc t="1" v="931"/>
    </bk>
    <bk>
      <rc t="1" v="932"/>
    </bk>
    <bk>
      <rc t="1" v="933"/>
    </bk>
    <bk>
      <rc t="1" v="934"/>
    </bk>
    <bk>
      <rc t="1" v="935"/>
    </bk>
    <bk>
      <rc t="1" v="936"/>
    </bk>
    <bk>
      <rc t="1" v="937"/>
    </bk>
    <bk>
      <rc t="1" v="938"/>
    </bk>
    <bk>
      <rc t="1" v="939"/>
    </bk>
    <bk>
      <rc t="1" v="940"/>
    </bk>
    <bk>
      <rc t="1" v="941"/>
    </bk>
    <bk>
      <rc t="1" v="942"/>
    </bk>
    <bk>
      <rc t="1" v="943"/>
    </bk>
    <bk>
      <rc t="1" v="944"/>
    </bk>
    <bk>
      <rc t="1" v="945"/>
    </bk>
    <bk>
      <rc t="1" v="946"/>
    </bk>
    <bk>
      <rc t="1" v="947"/>
    </bk>
    <bk>
      <rc t="1" v="948"/>
    </bk>
    <bk>
      <rc t="1" v="949"/>
    </bk>
    <bk>
      <rc t="1" v="950"/>
    </bk>
    <bk>
      <rc t="1" v="951"/>
    </bk>
    <bk>
      <rc t="1" v="952"/>
    </bk>
    <bk>
      <rc t="1" v="953"/>
    </bk>
    <bk>
      <rc t="1" v="954"/>
    </bk>
    <bk>
      <rc t="1" v="955"/>
    </bk>
    <bk>
      <rc t="1" v="956"/>
    </bk>
    <bk>
      <rc t="1" v="957"/>
    </bk>
    <bk>
      <rc t="1" v="958"/>
    </bk>
    <bk>
      <rc t="1" v="959"/>
    </bk>
    <bk>
      <rc t="1" v="960"/>
    </bk>
    <bk>
      <rc t="1" v="961"/>
    </bk>
    <bk>
      <rc t="1" v="962"/>
    </bk>
    <bk>
      <rc t="1" v="963"/>
    </bk>
    <bk>
      <rc t="1" v="964"/>
    </bk>
    <bk>
      <rc t="1" v="965"/>
    </bk>
    <bk>
      <rc t="1" v="966"/>
    </bk>
    <bk>
      <rc t="1" v="967"/>
    </bk>
    <bk>
      <rc t="1" v="968"/>
    </bk>
    <bk>
      <rc t="1" v="969"/>
    </bk>
    <bk>
      <rc t="1" v="970"/>
    </bk>
    <bk>
      <rc t="1" v="971"/>
    </bk>
    <bk>
      <rc t="1" v="972"/>
    </bk>
    <bk>
      <rc t="1" v="973"/>
    </bk>
    <bk>
      <rc t="1" v="974"/>
    </bk>
    <bk>
      <rc t="1" v="975"/>
    </bk>
    <bk>
      <rc t="1" v="976"/>
    </bk>
    <bk>
      <rc t="1" v="977"/>
    </bk>
    <bk>
      <rc t="1" v="978"/>
    </bk>
    <bk>
      <rc t="1" v="979"/>
    </bk>
    <bk>
      <rc t="1" v="980"/>
    </bk>
    <bk>
      <rc t="1" v="981"/>
    </bk>
    <bk>
      <rc t="1" v="982"/>
    </bk>
    <bk>
      <rc t="1" v="983"/>
    </bk>
    <bk>
      <rc t="1" v="984"/>
    </bk>
    <bk>
      <rc t="1" v="985"/>
    </bk>
    <bk>
      <rc t="1" v="986"/>
    </bk>
    <bk>
      <rc t="1" v="987"/>
    </bk>
    <bk>
      <rc t="1" v="988"/>
    </bk>
    <bk>
      <rc t="1" v="989"/>
    </bk>
    <bk>
      <rc t="1" v="990"/>
    </bk>
    <bk>
      <rc t="1" v="991"/>
    </bk>
    <bk>
      <rc t="1" v="992"/>
    </bk>
    <bk>
      <rc t="1" v="993"/>
    </bk>
    <bk>
      <rc t="1" v="994"/>
    </bk>
    <bk>
      <rc t="1" v="995"/>
    </bk>
    <bk>
      <rc t="1" v="996"/>
    </bk>
    <bk>
      <rc t="1" v="997"/>
    </bk>
    <bk>
      <rc t="1" v="998"/>
    </bk>
    <bk>
      <rc t="1" v="999"/>
    </bk>
    <bk>
      <rc t="1" v="1000"/>
    </bk>
    <bk>
      <rc t="1" v="1001"/>
    </bk>
    <bk>
      <rc t="1" v="1002"/>
    </bk>
    <bk>
      <rc t="1" v="1003"/>
    </bk>
    <bk>
      <rc t="1" v="1004"/>
    </bk>
    <bk>
      <rc t="1" v="1005"/>
    </bk>
    <bk>
      <rc t="1" v="1006"/>
    </bk>
    <bk>
      <rc t="1" v="1007"/>
    </bk>
    <bk>
      <rc t="1" v="1008"/>
    </bk>
    <bk>
      <rc t="1" v="1009"/>
    </bk>
    <bk>
      <rc t="1" v="1010"/>
    </bk>
    <bk>
      <rc t="1" v="1011"/>
    </bk>
    <bk>
      <rc t="1" v="1012"/>
    </bk>
    <bk>
      <rc t="1" v="1013"/>
    </bk>
    <bk>
      <rc t="1" v="1014"/>
    </bk>
    <bk>
      <rc t="1" v="1015"/>
    </bk>
    <bk>
      <rc t="1" v="1016"/>
    </bk>
    <bk>
      <rc t="1" v="1017"/>
    </bk>
    <bk>
      <rc t="1" v="1018"/>
    </bk>
    <bk>
      <rc t="1" v="1019"/>
    </bk>
    <bk>
      <rc t="1" v="1020"/>
    </bk>
    <bk>
      <rc t="1" v="1021"/>
    </bk>
    <bk>
      <rc t="1" v="1022"/>
    </bk>
    <bk>
      <rc t="1" v="1023"/>
    </bk>
    <bk>
      <rc t="1" v="1024"/>
    </bk>
    <bk>
      <rc t="1" v="1025"/>
    </bk>
    <bk>
      <rc t="1" v="1026"/>
    </bk>
    <bk>
      <rc t="1" v="1027"/>
    </bk>
    <bk>
      <rc t="1" v="1028"/>
    </bk>
    <bk>
      <rc t="1" v="1029"/>
    </bk>
    <bk>
      <rc t="1" v="1030"/>
    </bk>
    <bk>
      <rc t="1" v="1031"/>
    </bk>
    <bk>
      <rc t="1" v="1032"/>
    </bk>
    <bk>
      <rc t="1" v="1033"/>
    </bk>
    <bk>
      <rc t="1" v="1034"/>
    </bk>
    <bk>
      <rc t="1" v="1035"/>
    </bk>
    <bk>
      <rc t="1" v="1036"/>
    </bk>
    <bk>
      <rc t="1" v="1037"/>
    </bk>
    <bk>
      <rc t="1" v="1038"/>
    </bk>
    <bk>
      <rc t="1" v="1039"/>
    </bk>
    <bk>
      <rc t="1" v="1040"/>
    </bk>
    <bk>
      <rc t="1" v="1041"/>
    </bk>
    <bk>
      <rc t="1" v="1042"/>
    </bk>
    <bk>
      <rc t="1" v="1043"/>
    </bk>
    <bk>
      <rc t="1" v="1044"/>
    </bk>
    <bk>
      <rc t="1" v="1045"/>
    </bk>
    <bk>
      <rc t="1" v="1046"/>
    </bk>
    <bk>
      <rc t="1" v="1047"/>
    </bk>
    <bk>
      <rc t="1" v="1048"/>
    </bk>
    <bk>
      <rc t="1" v="1049"/>
    </bk>
    <bk>
      <rc t="1" v="1050"/>
    </bk>
    <bk>
      <rc t="1" v="1051"/>
    </bk>
    <bk>
      <rc t="1" v="1052"/>
    </bk>
    <bk>
      <rc t="1" v="1053"/>
    </bk>
    <bk>
      <rc t="1" v="1054"/>
    </bk>
    <bk>
      <rc t="1" v="1055"/>
    </bk>
    <bk>
      <rc t="1" v="1056"/>
    </bk>
    <bk>
      <rc t="1" v="1057"/>
    </bk>
    <bk>
      <rc t="1" v="1058"/>
    </bk>
    <bk>
      <rc t="1" v="1059"/>
    </bk>
    <bk>
      <rc t="1" v="1060"/>
    </bk>
    <bk>
      <rc t="1" v="1061"/>
    </bk>
    <bk>
      <rc t="1" v="1062"/>
    </bk>
    <bk>
      <rc t="1" v="1063"/>
    </bk>
    <bk>
      <rc t="1" v="1064"/>
    </bk>
    <bk>
      <rc t="1" v="1065"/>
    </bk>
    <bk>
      <rc t="1" v="1066"/>
    </bk>
    <bk>
      <rc t="1" v="1067"/>
    </bk>
    <bk>
      <rc t="1" v="1068"/>
    </bk>
    <bk>
      <rc t="1" v="1069"/>
    </bk>
    <bk>
      <rc t="1" v="1070"/>
    </bk>
    <bk>
      <rc t="1" v="1071"/>
    </bk>
    <bk>
      <rc t="1" v="1072"/>
    </bk>
    <bk>
      <rc t="1" v="1073"/>
    </bk>
    <bk>
      <rc t="1" v="1074"/>
    </bk>
    <bk>
      <rc t="1" v="1075"/>
    </bk>
    <bk>
      <rc t="1" v="1076"/>
    </bk>
    <bk>
      <rc t="1" v="1077"/>
    </bk>
    <bk>
      <rc t="1" v="1078"/>
    </bk>
    <bk>
      <rc t="1" v="1079"/>
    </bk>
    <bk>
      <rc t="1" v="1080"/>
    </bk>
    <bk>
      <rc t="1" v="1081"/>
    </bk>
    <bk>
      <rc t="1" v="1082"/>
    </bk>
    <bk>
      <rc t="1" v="1083"/>
    </bk>
    <bk>
      <rc t="1" v="1084"/>
    </bk>
    <bk>
      <rc t="1" v="1085"/>
    </bk>
    <bk>
      <rc t="1" v="1086"/>
    </bk>
    <bk>
      <rc t="1" v="1087"/>
    </bk>
    <bk>
      <rc t="1" v="1088"/>
    </bk>
    <bk>
      <rc t="1" v="1089"/>
    </bk>
    <bk>
      <rc t="1" v="1090"/>
    </bk>
    <bk>
      <rc t="1" v="1091"/>
    </bk>
    <bk>
      <rc t="1" v="1092"/>
    </bk>
    <bk>
      <rc t="1" v="1093"/>
    </bk>
    <bk>
      <rc t="1" v="1094"/>
    </bk>
    <bk>
      <rc t="1" v="1095"/>
    </bk>
    <bk>
      <rc t="1" v="1096"/>
    </bk>
    <bk>
      <rc t="1" v="1097"/>
    </bk>
    <bk>
      <rc t="1" v="1098"/>
    </bk>
    <bk>
      <rc t="1" v="1099"/>
    </bk>
    <bk>
      <rc t="1" v="1100"/>
    </bk>
    <bk>
      <rc t="1" v="1101"/>
    </bk>
    <bk>
      <rc t="1" v="1102"/>
    </bk>
    <bk>
      <rc t="1" v="1103"/>
    </bk>
    <bk>
      <rc t="1" v="1104"/>
    </bk>
    <bk>
      <rc t="1" v="1105"/>
    </bk>
    <bk>
      <rc t="1" v="1106"/>
    </bk>
    <bk>
      <rc t="1" v="1107"/>
    </bk>
    <bk>
      <rc t="1" v="1108"/>
    </bk>
    <bk>
      <rc t="1" v="1109"/>
    </bk>
    <bk>
      <rc t="1" v="1110"/>
    </bk>
    <bk>
      <rc t="1" v="1111"/>
    </bk>
    <bk>
      <rc t="1" v="1112"/>
    </bk>
    <bk>
      <rc t="1" v="1113"/>
    </bk>
    <bk>
      <rc t="1" v="1114"/>
    </bk>
    <bk>
      <rc t="1" v="1115"/>
    </bk>
    <bk>
      <rc t="1" v="1116"/>
    </bk>
    <bk>
      <rc t="1" v="1117"/>
    </bk>
    <bk>
      <rc t="1" v="1118"/>
    </bk>
    <bk>
      <rc t="1" v="1119"/>
    </bk>
    <bk>
      <rc t="1" v="1120"/>
    </bk>
    <bk>
      <rc t="1" v="1121"/>
    </bk>
    <bk>
      <rc t="1" v="1122"/>
    </bk>
    <bk>
      <rc t="1" v="1123"/>
    </bk>
    <bk>
      <rc t="1" v="1124"/>
    </bk>
    <bk>
      <rc t="1" v="1125"/>
    </bk>
    <bk>
      <rc t="1" v="1126"/>
    </bk>
    <bk>
      <rc t="1" v="1127"/>
    </bk>
    <bk>
      <rc t="1" v="1128"/>
    </bk>
    <bk>
      <rc t="1" v="1129"/>
    </bk>
    <bk>
      <rc t="1" v="1130"/>
    </bk>
    <bk>
      <rc t="1" v="1131"/>
    </bk>
    <bk>
      <rc t="1" v="1132"/>
    </bk>
    <bk>
      <rc t="1" v="1133"/>
    </bk>
    <bk>
      <rc t="1" v="1134"/>
    </bk>
    <bk>
      <rc t="1" v="1135"/>
    </bk>
    <bk>
      <rc t="1" v="1136"/>
    </bk>
    <bk>
      <rc t="1" v="1137"/>
    </bk>
    <bk>
      <rc t="1" v="1138"/>
    </bk>
    <bk>
      <rc t="1" v="1139"/>
    </bk>
    <bk>
      <rc t="1" v="1140"/>
    </bk>
    <bk>
      <rc t="1" v="1141"/>
    </bk>
    <bk>
      <rc t="1" v="1142"/>
    </bk>
    <bk>
      <rc t="1" v="1143"/>
    </bk>
    <bk>
      <rc t="1" v="1144"/>
    </bk>
    <bk>
      <rc t="1" v="1145"/>
    </bk>
    <bk>
      <rc t="1" v="1146"/>
    </bk>
    <bk>
      <rc t="1" v="1147"/>
    </bk>
    <bk>
      <rc t="1" v="1148"/>
    </bk>
    <bk>
      <rc t="1" v="1149"/>
    </bk>
    <bk>
      <rc t="1" v="1150"/>
    </bk>
    <bk>
      <rc t="1" v="1151"/>
    </bk>
    <bk>
      <rc t="1" v="1152"/>
    </bk>
    <bk>
      <rc t="1" v="1153"/>
    </bk>
    <bk>
      <rc t="1" v="1154"/>
    </bk>
    <bk>
      <rc t="1" v="1155"/>
    </bk>
    <bk>
      <rc t="1" v="1156"/>
    </bk>
    <bk>
      <rc t="1" v="1157"/>
    </bk>
    <bk>
      <rc t="1" v="1158"/>
    </bk>
    <bk>
      <rc t="1" v="1159"/>
    </bk>
    <bk>
      <rc t="1" v="1160"/>
    </bk>
    <bk>
      <rc t="1" v="1161"/>
    </bk>
    <bk>
      <rc t="1" v="1162"/>
    </bk>
    <bk>
      <rc t="1" v="1163"/>
    </bk>
    <bk>
      <rc t="1" v="1164"/>
    </bk>
    <bk>
      <rc t="1" v="1165"/>
    </bk>
    <bk>
      <rc t="1" v="1166"/>
    </bk>
    <bk>
      <rc t="1" v="1167"/>
    </bk>
    <bk>
      <rc t="1" v="1168"/>
    </bk>
    <bk>
      <rc t="1" v="1169"/>
    </bk>
    <bk>
      <rc t="1" v="1170"/>
    </bk>
    <bk>
      <rc t="1" v="1171"/>
    </bk>
    <bk>
      <rc t="1" v="1172"/>
    </bk>
    <bk>
      <rc t="1" v="1173"/>
    </bk>
    <bk>
      <rc t="1" v="1174"/>
    </bk>
    <bk>
      <rc t="1" v="1175"/>
    </bk>
    <bk>
      <rc t="1" v="1176"/>
    </bk>
    <bk>
      <rc t="1" v="1177"/>
    </bk>
    <bk>
      <rc t="1" v="1178"/>
    </bk>
    <bk>
      <rc t="1" v="1179"/>
    </bk>
    <bk>
      <rc t="1" v="1180"/>
    </bk>
    <bk>
      <rc t="1" v="1181"/>
    </bk>
    <bk>
      <rc t="1" v="1182"/>
    </bk>
    <bk>
      <rc t="1" v="1183"/>
    </bk>
    <bk>
      <rc t="1" v="1184"/>
    </bk>
    <bk>
      <rc t="1" v="1185"/>
    </bk>
    <bk>
      <rc t="1" v="1186"/>
    </bk>
    <bk>
      <rc t="1" v="1187"/>
    </bk>
    <bk>
      <rc t="1" v="1188"/>
    </bk>
    <bk>
      <rc t="1" v="1189"/>
    </bk>
    <bk>
      <rc t="1" v="1190"/>
    </bk>
    <bk>
      <rc t="1" v="1191"/>
    </bk>
    <bk>
      <rc t="1" v="1192"/>
    </bk>
    <bk>
      <rc t="1" v="1193"/>
    </bk>
    <bk>
      <rc t="1" v="1194"/>
    </bk>
    <bk>
      <rc t="1" v="1195"/>
    </bk>
    <bk>
      <rc t="1" v="1196"/>
    </bk>
    <bk>
      <rc t="1" v="1197"/>
    </bk>
    <bk>
      <rc t="1" v="1198"/>
    </bk>
    <bk>
      <rc t="1" v="1199"/>
    </bk>
    <bk>
      <rc t="1" v="1200"/>
    </bk>
    <bk>
      <rc t="1" v="1201"/>
    </bk>
    <bk>
      <rc t="1" v="1202"/>
    </bk>
    <bk>
      <rc t="1" v="1203"/>
    </bk>
    <bk>
      <rc t="1" v="1204"/>
    </bk>
    <bk>
      <rc t="1" v="1205"/>
    </bk>
    <bk>
      <rc t="1" v="1206"/>
    </bk>
    <bk>
      <rc t="1" v="1207"/>
    </bk>
    <bk>
      <rc t="1" v="1208"/>
    </bk>
    <bk>
      <rc t="1" v="1209"/>
    </bk>
    <bk>
      <rc t="1" v="1210"/>
    </bk>
    <bk>
      <rc t="1" v="1211"/>
    </bk>
    <bk>
      <rc t="1" v="1212"/>
    </bk>
    <bk>
      <rc t="1" v="1213"/>
    </bk>
    <bk>
      <rc t="1" v="1214"/>
    </bk>
    <bk>
      <rc t="1" v="1215"/>
    </bk>
    <bk>
      <rc t="1" v="1216"/>
    </bk>
    <bk>
      <rc t="1" v="1217"/>
    </bk>
    <bk>
      <rc t="1" v="1218"/>
    </bk>
    <bk>
      <rc t="1" v="1219"/>
    </bk>
    <bk>
      <rc t="1" v="1220"/>
    </bk>
    <bk>
      <rc t="1" v="1221"/>
    </bk>
    <bk>
      <rc t="1" v="1222"/>
    </bk>
    <bk>
      <rc t="1" v="1223"/>
    </bk>
    <bk>
      <rc t="1" v="1224"/>
    </bk>
    <bk>
      <rc t="1" v="1225"/>
    </bk>
    <bk>
      <rc t="1" v="1226"/>
    </bk>
    <bk>
      <rc t="1" v="1227"/>
    </bk>
    <bk>
      <rc t="1" v="1228"/>
    </bk>
    <bk>
      <rc t="1" v="1229"/>
    </bk>
    <bk>
      <rc t="1" v="1230"/>
    </bk>
    <bk>
      <rc t="1" v="1231"/>
    </bk>
    <bk>
      <rc t="1" v="1232"/>
    </bk>
    <bk>
      <rc t="1" v="1233"/>
    </bk>
    <bk>
      <rc t="1" v="1234"/>
    </bk>
    <bk>
      <rc t="1" v="1235"/>
    </bk>
    <bk>
      <rc t="1" v="1236"/>
    </bk>
    <bk>
      <rc t="1" v="1237"/>
    </bk>
    <bk>
      <rc t="1" v="1238"/>
    </bk>
    <bk>
      <rc t="1" v="1239"/>
    </bk>
    <bk>
      <rc t="1" v="1240"/>
    </bk>
    <bk>
      <rc t="1" v="1241"/>
    </bk>
    <bk>
      <rc t="1" v="1242"/>
    </bk>
    <bk>
      <rc t="1" v="1243"/>
    </bk>
    <bk>
      <rc t="1" v="1244"/>
    </bk>
    <bk>
      <rc t="1" v="1245"/>
    </bk>
    <bk>
      <rc t="1" v="1246"/>
    </bk>
    <bk>
      <rc t="1" v="1247"/>
    </bk>
    <bk>
      <rc t="1" v="1248"/>
    </bk>
    <bk>
      <rc t="1" v="1249"/>
    </bk>
    <bk>
      <rc t="1" v="1250"/>
    </bk>
    <bk>
      <rc t="1" v="1251"/>
    </bk>
    <bk>
      <rc t="1" v="1252"/>
    </bk>
    <bk>
      <rc t="1" v="1253"/>
    </bk>
    <bk>
      <rc t="1" v="1254"/>
    </bk>
    <bk>
      <rc t="1" v="1255"/>
    </bk>
    <bk>
      <rc t="1" v="1256"/>
    </bk>
    <bk>
      <rc t="1" v="1257"/>
    </bk>
    <bk>
      <rc t="1" v="1258"/>
    </bk>
    <bk>
      <rc t="1" v="1259"/>
    </bk>
    <bk>
      <rc t="1" v="1260"/>
    </bk>
    <bk>
      <rc t="1" v="1261"/>
    </bk>
    <bk>
      <rc t="1" v="1262"/>
    </bk>
    <bk>
      <rc t="1" v="1263"/>
    </bk>
    <bk>
      <rc t="1" v="1264"/>
    </bk>
    <bk>
      <rc t="1" v="1265"/>
    </bk>
    <bk>
      <rc t="1" v="1266"/>
    </bk>
    <bk>
      <rc t="1" v="1267"/>
    </bk>
    <bk>
      <rc t="1" v="1268"/>
    </bk>
    <bk>
      <rc t="1" v="1269"/>
    </bk>
    <bk>
      <rc t="1" v="1270"/>
    </bk>
    <bk>
      <rc t="1" v="1271"/>
    </bk>
    <bk>
      <rc t="1" v="1272"/>
    </bk>
    <bk>
      <rc t="1" v="1273"/>
    </bk>
    <bk>
      <rc t="1" v="1274"/>
    </bk>
    <bk>
      <rc t="1" v="1275"/>
    </bk>
    <bk>
      <rc t="1" v="1276"/>
    </bk>
    <bk>
      <rc t="1" v="1277"/>
    </bk>
    <bk>
      <rc t="1" v="1278"/>
    </bk>
    <bk>
      <rc t="1" v="1279"/>
    </bk>
    <bk>
      <rc t="1" v="1280"/>
    </bk>
    <bk>
      <rc t="1" v="1281"/>
    </bk>
    <bk>
      <rc t="1" v="1282"/>
    </bk>
    <bk>
      <rc t="1" v="1283"/>
    </bk>
    <bk>
      <rc t="1" v="1284"/>
    </bk>
    <bk>
      <rc t="1" v="1285"/>
    </bk>
    <bk>
      <rc t="1" v="1286"/>
    </bk>
    <bk>
      <rc t="1" v="1287"/>
    </bk>
    <bk>
      <rc t="1" v="1288"/>
    </bk>
    <bk>
      <rc t="1" v="1289"/>
    </bk>
    <bk>
      <rc t="1" v="1290"/>
    </bk>
    <bk>
      <rc t="1" v="1291"/>
    </bk>
    <bk>
      <rc t="1" v="1292"/>
    </bk>
    <bk>
      <rc t="1" v="1293"/>
    </bk>
    <bk>
      <rc t="1" v="1294"/>
    </bk>
    <bk>
      <rc t="1" v="1295"/>
    </bk>
    <bk>
      <rc t="1" v="1296"/>
    </bk>
    <bk>
      <rc t="1" v="1297"/>
    </bk>
    <bk>
      <rc t="1" v="1298"/>
    </bk>
    <bk>
      <rc t="1" v="1299"/>
    </bk>
    <bk>
      <rc t="1" v="1300"/>
    </bk>
    <bk>
      <rc t="1" v="1301"/>
    </bk>
    <bk>
      <rc t="1" v="1302"/>
    </bk>
    <bk>
      <rc t="1" v="1303"/>
    </bk>
    <bk>
      <rc t="1" v="1304"/>
    </bk>
    <bk>
      <rc t="1" v="1305"/>
    </bk>
    <bk>
      <rc t="1" v="1306"/>
    </bk>
    <bk>
      <rc t="1" v="1307"/>
    </bk>
    <bk>
      <rc t="1" v="1308"/>
    </bk>
    <bk>
      <rc t="1" v="1309"/>
    </bk>
    <bk>
      <rc t="1" v="1310"/>
    </bk>
    <bk>
      <rc t="1" v="1311"/>
    </bk>
    <bk>
      <rc t="1" v="1312"/>
    </bk>
    <bk>
      <rc t="1" v="1313"/>
    </bk>
    <bk>
      <rc t="1" v="1314"/>
    </bk>
    <bk>
      <rc t="1" v="1315"/>
    </bk>
    <bk>
      <rc t="1" v="1316"/>
    </bk>
    <bk>
      <rc t="1" v="1317"/>
    </bk>
    <bk>
      <rc t="1" v="1318"/>
    </bk>
    <bk>
      <rc t="1" v="1319"/>
    </bk>
    <bk>
      <rc t="1" v="1320"/>
    </bk>
    <bk>
      <rc t="1" v="1321"/>
    </bk>
    <bk>
      <rc t="1" v="1322"/>
    </bk>
    <bk>
      <rc t="1" v="1323"/>
    </bk>
    <bk>
      <rc t="1" v="1324"/>
    </bk>
    <bk>
      <rc t="1" v="1325"/>
    </bk>
    <bk>
      <rc t="1" v="1326"/>
    </bk>
    <bk>
      <rc t="1" v="1327"/>
    </bk>
    <bk>
      <rc t="1" v="1328"/>
    </bk>
    <bk>
      <rc t="1" v="1329"/>
    </bk>
    <bk>
      <rc t="1" v="1330"/>
    </bk>
    <bk>
      <rc t="1" v="1331"/>
    </bk>
    <bk>
      <rc t="1" v="1332"/>
    </bk>
    <bk>
      <rc t="1" v="1333"/>
    </bk>
    <bk>
      <rc t="1" v="1334"/>
    </bk>
    <bk>
      <rc t="1" v="1335"/>
    </bk>
    <bk>
      <rc t="1" v="1336"/>
    </bk>
    <bk>
      <rc t="1" v="1337"/>
    </bk>
    <bk>
      <rc t="1" v="1338"/>
    </bk>
    <bk>
      <rc t="1" v="1339"/>
    </bk>
    <bk>
      <rc t="1" v="1340"/>
    </bk>
    <bk>
      <rc t="1" v="1341"/>
    </bk>
    <bk>
      <rc t="1" v="1342"/>
    </bk>
    <bk>
      <rc t="1" v="1343"/>
    </bk>
    <bk>
      <rc t="1" v="1344"/>
    </bk>
    <bk>
      <rc t="1" v="1345"/>
    </bk>
    <bk>
      <rc t="1" v="1346"/>
    </bk>
    <bk>
      <rc t="1" v="1347"/>
    </bk>
    <bk>
      <rc t="1" v="1348"/>
    </bk>
    <bk>
      <rc t="1" v="1349"/>
    </bk>
    <bk>
      <rc t="1" v="1350"/>
    </bk>
    <bk>
      <rc t="1" v="1351"/>
    </bk>
    <bk>
      <rc t="1" v="1352"/>
    </bk>
    <bk>
      <rc t="1" v="1353"/>
    </bk>
    <bk>
      <rc t="1" v="1354"/>
    </bk>
    <bk>
      <rc t="1" v="1355"/>
    </bk>
    <bk>
      <rc t="1" v="1356"/>
    </bk>
    <bk>
      <rc t="1" v="1357"/>
    </bk>
    <bk>
      <rc t="1" v="1358"/>
    </bk>
    <bk>
      <rc t="1" v="1359"/>
    </bk>
    <bk>
      <rc t="1" v="1360"/>
    </bk>
    <bk>
      <rc t="1" v="1361"/>
    </bk>
    <bk>
      <rc t="1" v="1362"/>
    </bk>
    <bk>
      <rc t="1" v="1363"/>
    </bk>
    <bk>
      <rc t="1" v="1364"/>
    </bk>
    <bk>
      <rc t="1" v="1365"/>
    </bk>
    <bk>
      <rc t="1" v="1366"/>
    </bk>
    <bk>
      <rc t="1" v="1367"/>
    </bk>
    <bk>
      <rc t="1" v="1368"/>
    </bk>
    <bk>
      <rc t="1" v="1369"/>
    </bk>
    <bk>
      <rc t="1" v="1370"/>
    </bk>
    <bk>
      <rc t="1" v="1371"/>
    </bk>
    <bk>
      <rc t="1" v="1372"/>
    </bk>
    <bk>
      <rc t="1" v="1373"/>
    </bk>
    <bk>
      <rc t="1" v="1374"/>
    </bk>
    <bk>
      <rc t="1" v="1375"/>
    </bk>
    <bk>
      <rc t="1" v="1376"/>
    </bk>
    <bk>
      <rc t="1" v="1377"/>
    </bk>
    <bk>
      <rc t="1" v="1378"/>
    </bk>
    <bk>
      <rc t="1" v="1379"/>
    </bk>
    <bk>
      <rc t="1" v="1380"/>
    </bk>
    <bk>
      <rc t="1" v="1381"/>
    </bk>
    <bk>
      <rc t="1" v="1382"/>
    </bk>
    <bk>
      <rc t="1" v="1383"/>
    </bk>
    <bk>
      <rc t="1" v="1384"/>
    </bk>
    <bk>
      <rc t="1" v="1385"/>
    </bk>
    <bk>
      <rc t="1" v="1386"/>
    </bk>
    <bk>
      <rc t="1" v="1387"/>
    </bk>
    <bk>
      <rc t="1" v="1388"/>
    </bk>
    <bk>
      <rc t="1" v="1389"/>
    </bk>
    <bk>
      <rc t="1" v="1390"/>
    </bk>
    <bk>
      <rc t="1" v="1391"/>
    </bk>
    <bk>
      <rc t="1" v="1392"/>
    </bk>
    <bk>
      <rc t="1" v="1393"/>
    </bk>
    <bk>
      <rc t="1" v="1394"/>
    </bk>
    <bk>
      <rc t="1" v="1395"/>
    </bk>
    <bk>
      <rc t="1" v="1396"/>
    </bk>
    <bk>
      <rc t="1" v="1397"/>
    </bk>
    <bk>
      <rc t="1" v="1398"/>
    </bk>
    <bk>
      <rc t="1" v="1399"/>
    </bk>
    <bk>
      <rc t="1" v="1400"/>
    </bk>
    <bk>
      <rc t="1" v="1401"/>
    </bk>
    <bk>
      <rc t="1" v="1402"/>
    </bk>
    <bk>
      <rc t="1" v="1403"/>
    </bk>
    <bk>
      <rc t="1" v="1404"/>
    </bk>
    <bk>
      <rc t="1" v="1405"/>
    </bk>
    <bk>
      <rc t="1" v="1406"/>
    </bk>
    <bk>
      <rc t="1" v="1407"/>
    </bk>
    <bk>
      <rc t="1" v="1408"/>
    </bk>
    <bk>
      <rc t="1" v="1409"/>
    </bk>
    <bk>
      <rc t="1" v="1410"/>
    </bk>
    <bk>
      <rc t="1" v="1411"/>
    </bk>
    <bk>
      <rc t="1" v="1412"/>
    </bk>
    <bk>
      <rc t="1" v="1413"/>
    </bk>
    <bk>
      <rc t="1" v="1414"/>
    </bk>
    <bk>
      <rc t="1" v="1415"/>
    </bk>
    <bk>
      <rc t="1" v="1416"/>
    </bk>
    <bk>
      <rc t="1" v="1417"/>
    </bk>
    <bk>
      <rc t="1" v="1418"/>
    </bk>
    <bk>
      <rc t="1" v="1419"/>
    </bk>
    <bk>
      <rc t="1" v="1420"/>
    </bk>
    <bk>
      <rc t="1" v="1421"/>
    </bk>
    <bk>
      <rc t="1" v="1422"/>
    </bk>
    <bk>
      <rc t="1" v="1423"/>
    </bk>
    <bk>
      <rc t="1" v="1424"/>
    </bk>
    <bk>
      <rc t="1" v="1425"/>
    </bk>
    <bk>
      <rc t="1" v="1426"/>
    </bk>
    <bk>
      <rc t="1" v="1427"/>
    </bk>
    <bk>
      <rc t="1" v="1428"/>
    </bk>
    <bk>
      <rc t="1" v="1429"/>
    </bk>
    <bk>
      <rc t="1" v="1430"/>
    </bk>
    <bk>
      <rc t="1" v="1431"/>
    </bk>
    <bk>
      <rc t="1" v="1432"/>
    </bk>
    <bk>
      <rc t="1" v="1433"/>
    </bk>
    <bk>
      <rc t="1" v="1434"/>
    </bk>
    <bk>
      <rc t="1" v="1435"/>
    </bk>
    <bk>
      <rc t="1" v="1436"/>
    </bk>
    <bk>
      <rc t="1" v="1437"/>
    </bk>
    <bk>
      <rc t="1" v="1438"/>
    </bk>
    <bk>
      <rc t="1" v="1439"/>
    </bk>
  </valueMetadata>
</metadata>
</file>

<file path=xl/sharedStrings.xml><?xml version="1.0" encoding="utf-8"?>
<sst xmlns="http://schemas.openxmlformats.org/spreadsheetml/2006/main" count="1758" uniqueCount="211">
  <si>
    <t>vertical</t>
  </si>
  <si>
    <t>horizontal</t>
  </si>
  <si>
    <t>EU</t>
  </si>
  <si>
    <t>EU lines</t>
  </si>
  <si>
    <t>Average</t>
  </si>
  <si>
    <t>Max</t>
  </si>
  <si>
    <t>Min</t>
  </si>
  <si>
    <t>SK</t>
  </si>
  <si>
    <t>SI</t>
  </si>
  <si>
    <t>SE</t>
  </si>
  <si>
    <t>RO</t>
  </si>
  <si>
    <t>PT</t>
  </si>
  <si>
    <t>PL</t>
  </si>
  <si>
    <t>NL</t>
  </si>
  <si>
    <t>MT</t>
  </si>
  <si>
    <t>LV</t>
  </si>
  <si>
    <t>LU</t>
  </si>
  <si>
    <t>LT</t>
  </si>
  <si>
    <t>IT</t>
  </si>
  <si>
    <t>IE</t>
  </si>
  <si>
    <t>HU</t>
  </si>
  <si>
    <t>HR</t>
  </si>
  <si>
    <t>FR</t>
  </si>
  <si>
    <t>FI</t>
  </si>
  <si>
    <t>ES</t>
  </si>
  <si>
    <t>EL</t>
  </si>
  <si>
    <t>EE</t>
  </si>
  <si>
    <t>DK</t>
  </si>
  <si>
    <t>DE</t>
  </si>
  <si>
    <t>CZ</t>
  </si>
  <si>
    <t>CY</t>
  </si>
  <si>
    <t>BG</t>
  </si>
  <si>
    <t>BE</t>
  </si>
  <si>
    <t>AT</t>
  </si>
  <si>
    <t>yellow</t>
  </si>
  <si>
    <t>white</t>
  </si>
  <si>
    <t>red</t>
  </si>
  <si>
    <t>orange</t>
  </si>
  <si>
    <t>green</t>
  </si>
  <si>
    <t>dark_green</t>
  </si>
  <si>
    <t>blue</t>
  </si>
  <si>
    <t>Level</t>
  </si>
  <si>
    <t>Change</t>
  </si>
  <si>
    <t>Ctry</t>
  </si>
  <si>
    <t>Adult participation in learning (during the last 12 months, excl. guided on the job training, % of the population aged 25-64) - change</t>
  </si>
  <si>
    <t>Bookmark</t>
  </si>
  <si>
    <t>2022</t>
  </si>
  <si>
    <t>Year</t>
  </si>
  <si>
    <t>Adult participation in learning (during the last 12 months, excl. guided on the job training, % of the population aged 25-64)</t>
  </si>
  <si>
    <t>Indicator</t>
  </si>
  <si>
    <t>Early leavers from education and training (% of population aged 18-24) - change</t>
  </si>
  <si>
    <t>https://ec.europa.eu/eurostat/databrowser/bookmark/e48bf39d-5176-410d-b32f-f4a5d22fbfdd?lang=en</t>
  </si>
  <si>
    <t>2023</t>
  </si>
  <si>
    <t>Early leavers from education and training (% of population aged 18-24)</t>
  </si>
  <si>
    <t>Share of individuals who have basic or above basic overall digital skills (% of population aged 16-74) - change</t>
  </si>
  <si>
    <t>https://ec.europa.eu/eurostat/databrowser/bookmark/40ecd88d-1514-4d6b-8260-3c4f5b8f4d0a?lang=en</t>
  </si>
  <si>
    <t>Share of individuals who have basic or above basic overall digital skills (% of population aged 16-74)</t>
  </si>
  <si>
    <t>Young people not in employment, education or training (% of total population aged 15-29) - change</t>
  </si>
  <si>
    <t>Young people not in employment, education or training (% of total population aged 15-29)</t>
  </si>
  <si>
    <t>Gender employment gap (percentage points, population aged 20-64) - change</t>
  </si>
  <si>
    <t>Gender employment gap (percentage points, population aged 20-64)</t>
  </si>
  <si>
    <t>Income quintile ratio (S80/S20) - change</t>
  </si>
  <si>
    <t>https://ec.europa.eu/eurostat/databrowser/bookmark/0841b683-2a56-40b9-a57b-3a8acffa97d2?lang=en</t>
  </si>
  <si>
    <t>Income quintile ratio (S80/S20)</t>
  </si>
  <si>
    <t>Employment rate (% of population aged 20-64) - change</t>
  </si>
  <si>
    <t>https://ec.europa.eu/eurostat/databrowser/bookmark/b063fae8-48c3-4443-a404-59e86a115d77?lang=en</t>
  </si>
  <si>
    <t>Employment rate (% of population aged 20-64)</t>
  </si>
  <si>
    <t>Unemployment rate (% of active population aged 15-74) - change</t>
  </si>
  <si>
    <t>https://ec.europa.eu/eurostat/databrowser/bookmark/bdef400b-6d01-473e-be00-72bfe820a826?lang=en</t>
  </si>
  <si>
    <t>Unemployment rate (% of active population aged 15-74)</t>
  </si>
  <si>
    <t>Long-term unemployment rate (% active population aged 15-74) - change</t>
  </si>
  <si>
    <t>https://ec.europa.eu/eurostat/databrowser/bookmark/d94922a2-1fb4-4897-992e-384f2f942215?lang=en</t>
  </si>
  <si>
    <t>Long-term unemployment rate (% active population aged 15-74)</t>
  </si>
  <si>
    <t>Gross disposable household income (GDHI) per capita growth (index, 2008=100) - change</t>
  </si>
  <si>
    <t>Gross disposable household income (GDHI) per capita growth (index, 2008=100)</t>
  </si>
  <si>
    <t>At risk of poverty or social exclusion (AROPE) rate (% of total population) - change</t>
  </si>
  <si>
    <t>At risk of poverty or social exclusion (AROPE) rate (% of total population)</t>
  </si>
  <si>
    <t>At risk of poverty or social exclusion (AROPE) rate for children (% of population aged 0-17) - change</t>
  </si>
  <si>
    <t>At risk of poverty or social exclusion (AROPE) rate for children (% of population aged 0-17)</t>
  </si>
  <si>
    <t>Impact of social transfers (other than pensions) on poverty reduction (% reduction of AROP) - change</t>
  </si>
  <si>
    <t>https://ec.europa.eu/eurostat/databrowser/bookmark/b001ae62-ce34-4b49-9741-28a3ef99477f?lang=en</t>
  </si>
  <si>
    <t>Impact of social transfers (other than pensions) on poverty reduction (% reduction of AROP)</t>
  </si>
  <si>
    <t>Disability employment gap (percentage points, population aged 20-64) - change</t>
  </si>
  <si>
    <t>Disability employment gap (percentage points, population aged 20-64)</t>
  </si>
  <si>
    <t>Housing cost overburden (% of total population) - change</t>
  </si>
  <si>
    <t>https://ec.europa.eu/eurostat/databrowser/bookmark/560bfb6b-870b-419f-9858-49288f31374d?lang=en</t>
  </si>
  <si>
    <t>Housing cost overburden (% of total population)</t>
  </si>
  <si>
    <t>Children aged less than 3 years in formal childcare (% of the under 3-years-old population) - change</t>
  </si>
  <si>
    <t>Children aged less than 3 years in formal childcare (% of the under 3-years-old population)</t>
  </si>
  <si>
    <t>Self-reported unmet need for medical care (% of population 16+) - change</t>
  </si>
  <si>
    <t>https://ec.europa.eu/eurostat/databrowser/bookmark/4e3066d7-ad6b-4f3f-be92-99e33f4b5278?lang=en</t>
  </si>
  <si>
    <t>Self-reported unmet need for medical care (% of population 16+)</t>
  </si>
  <si>
    <t>Much higher than average</t>
  </si>
  <si>
    <t>Higher than average</t>
  </si>
  <si>
    <t>On average</t>
  </si>
  <si>
    <t>Lower than average</t>
  </si>
  <si>
    <t>Much lower than average</t>
  </si>
  <si>
    <t>Very high</t>
  </si>
  <si>
    <t>High</t>
  </si>
  <si>
    <t>Low</t>
  </si>
  <si>
    <t>Very low</t>
  </si>
  <si>
    <t>LT, PL, RO</t>
  </si>
  <si>
    <t>DK, IE, LU, PT, SI</t>
  </si>
  <si>
    <t>CY, DE</t>
  </si>
  <si>
    <t>CZ, EE, SE, SK</t>
  </si>
  <si>
    <t>BE, FI, FR, NL</t>
  </si>
  <si>
    <t>EL, ES</t>
  </si>
  <si>
    <t>CZ, FI, SI</t>
  </si>
  <si>
    <t>DK, IE, NL, PL</t>
  </si>
  <si>
    <t>AT, CY, DE, FR</t>
  </si>
  <si>
    <t>HR, HU, SE</t>
  </si>
  <si>
    <t>EE, EL</t>
  </si>
  <si>
    <t>MT, PT</t>
  </si>
  <si>
    <t>LV, RO</t>
  </si>
  <si>
    <t>CZ, NL, SE</t>
  </si>
  <si>
    <t>CY, MT</t>
  </si>
  <si>
    <t>DE, HU</t>
  </si>
  <si>
    <t>IE, PT, SK</t>
  </si>
  <si>
    <t>BG, LV</t>
  </si>
  <si>
    <t>AT, FI, LT, SI</t>
  </si>
  <si>
    <t>EL, ES, IT</t>
  </si>
  <si>
    <t>BE, RO</t>
  </si>
  <si>
    <t>CY, DE, HR, HU, MT</t>
  </si>
  <si>
    <t>AT, BE, BG, CZ, LU, NL</t>
  </si>
  <si>
    <t>IE, IT, PT</t>
  </si>
  <si>
    <t>DK, ES, FR, LT, SE, SI, SK</t>
  </si>
  <si>
    <t>EE, EL, LV</t>
  </si>
  <si>
    <t>EL, HR, IE</t>
  </si>
  <si>
    <t>BE, CZ</t>
  </si>
  <si>
    <t>LT, SI</t>
  </si>
  <si>
    <t>BG, EE, LU, SE</t>
  </si>
  <si>
    <t>AT, FR</t>
  </si>
  <si>
    <t>FI, PT</t>
  </si>
  <si>
    <t>DK, MT</t>
  </si>
  <si>
    <t>DE, ES</t>
  </si>
  <si>
    <t>ES, IT, PT, SI</t>
  </si>
  <si>
    <t>FI, FR</t>
  </si>
  <si>
    <t>CY, CZ, DE, EL, NL, SK</t>
  </si>
  <si>
    <t>HU, RO</t>
  </si>
  <si>
    <t>BE, IE</t>
  </si>
  <si>
    <t>HR, PL</t>
  </si>
  <si>
    <t>DE, MT, PL</t>
  </si>
  <si>
    <t>BG, IE, NL</t>
  </si>
  <si>
    <t>CY, HR</t>
  </si>
  <si>
    <t>LV, SK</t>
  </si>
  <si>
    <t>AT, PT</t>
  </si>
  <si>
    <t>DK, EE, LU</t>
  </si>
  <si>
    <t>FR, SE</t>
  </si>
  <si>
    <t>FI, IE</t>
  </si>
  <si>
    <t>CZ, DE, FR</t>
  </si>
  <si>
    <t>IT, NL, SK</t>
  </si>
  <si>
    <t>CY, LT, SI</t>
  </si>
  <si>
    <t>HU, PL, SE</t>
  </si>
  <si>
    <t>EE, LV, MT</t>
  </si>
  <si>
    <t>HR, RO</t>
  </si>
  <si>
    <t>ES, PT</t>
  </si>
  <si>
    <t>DE, HU, SE</t>
  </si>
  <si>
    <t>IE, FR, LU, FI</t>
  </si>
  <si>
    <t>DK, AT</t>
  </si>
  <si>
    <t>EE, MT</t>
  </si>
  <si>
    <t>BE, LV, PT</t>
  </si>
  <si>
    <t>HR, IT</t>
  </si>
  <si>
    <t>CY, SI</t>
  </si>
  <si>
    <t>BG, CZ, EL, PL</t>
  </si>
  <si>
    <t>DE, IE, MT, SI</t>
  </si>
  <si>
    <t>DK, PT</t>
  </si>
  <si>
    <t>CZ, EE, HR, LV, SK</t>
  </si>
  <si>
    <t>AT, FI, HU</t>
  </si>
  <si>
    <t>ES, FR</t>
  </si>
  <si>
    <t>AT, DE, IE, PL</t>
  </si>
  <si>
    <t>BE, FR, HR, LV, PT, SE, SI</t>
  </si>
  <si>
    <t>BG, FI, LT, RO</t>
  </si>
  <si>
    <t>HU, LU</t>
  </si>
  <si>
    <t>IT, SI</t>
  </si>
  <si>
    <t>FI, HR, IE, LT, PL, PT</t>
  </si>
  <si>
    <t>AT, BG</t>
  </si>
  <si>
    <t>ES, NL</t>
  </si>
  <si>
    <t>BE, FR, HU, LV, RO, SE</t>
  </si>
  <si>
    <t>CZ, EE</t>
  </si>
  <si>
    <t>DK, EL</t>
  </si>
  <si>
    <t>ES, MT, PT</t>
  </si>
  <si>
    <t>BE, SI</t>
  </si>
  <si>
    <t>EE, EL, FI, HR, IT, LV</t>
  </si>
  <si>
    <t>AT, IE</t>
  </si>
  <si>
    <t>BG, DE</t>
  </si>
  <si>
    <t>RO, SK</t>
  </si>
  <si>
    <t>CZ, PL</t>
  </si>
  <si>
    <t>CZ, FI</t>
  </si>
  <si>
    <t>AT, CY</t>
  </si>
  <si>
    <t>DK, PL</t>
  </si>
  <si>
    <t>BE, DE, FR, IE, MT, PT, SE</t>
  </si>
  <si>
    <t>BG, RO</t>
  </si>
  <si>
    <t>EL, LV</t>
  </si>
  <si>
    <t>AT, DK, ES, SE</t>
  </si>
  <si>
    <t>BE, EE, HU</t>
  </si>
  <si>
    <t>DE, LT</t>
  </si>
  <si>
    <t>EL, MT, PT</t>
  </si>
  <si>
    <t>HR, LU</t>
  </si>
  <si>
    <t>LV, SI, SK</t>
  </si>
  <si>
    <t>PL, RO</t>
  </si>
  <si>
    <t>DK, SI</t>
  </si>
  <si>
    <t>CZ, NL</t>
  </si>
  <si>
    <t>BE, HR</t>
  </si>
  <si>
    <t>AT, LV, SK</t>
  </si>
  <si>
    <t>IE, MT, PT, SE</t>
  </si>
  <si>
    <t>FR, PT</t>
  </si>
  <si>
    <t>CY, HR, IE</t>
  </si>
  <si>
    <t>BG, ES, HU, NL, SI, SK</t>
  </si>
  <si>
    <t>AT, BE, DE, LU</t>
  </si>
  <si>
    <t>CZ, EL</t>
  </si>
  <si>
    <t>MT, 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</si>
</sst>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</font>
    <font>
      <sz val="11"/>
      <name val="Calibri"/>
      <family val="2"/>
      <scheme val="minor"/>
    </font>
    <font>
      <b/>
      <sz val="12"/>
      <color theme="3"/>
      <name val="Calibri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3" tint="0.39988402966399123"/>
      </left>
      <right/>
      <top style="thick">
        <color theme="3" tint="0.39985351115451523"/>
      </top>
      <bottom/>
      <diagonal/>
    </border>
    <border>
      <left/>
      <right/>
      <top style="thick">
        <color theme="3" tint="0.39985351115451523"/>
      </top>
      <bottom/>
      <diagonal/>
    </border>
    <border>
      <left/>
      <right style="thick">
        <color theme="3" tint="0.39985351115451523"/>
      </right>
      <top style="thick">
        <color theme="3" tint="0.39985351115451523"/>
      </top>
      <bottom/>
      <diagonal/>
    </border>
    <border>
      <left style="thick">
        <color theme="3" tint="0.39988402966399123"/>
      </left>
      <right/>
      <top/>
      <bottom style="thick">
        <color theme="3" tint="0.39985351115451523"/>
      </bottom>
      <diagonal/>
    </border>
    <border>
      <left/>
      <right/>
      <top/>
      <bottom style="thick">
        <color theme="3" tint="0.39985351115451523"/>
      </bottom>
      <diagonal/>
    </border>
    <border>
      <left/>
      <right style="thick">
        <color theme="3" tint="0.39985351115451523"/>
      </right>
      <top/>
      <bottom style="thick">
        <color theme="3" tint="0.39985351115451523"/>
      </bottom>
      <diagonal/>
    </border>
    <border>
      <left style="thick">
        <color theme="3" tint="0.39988402966399123"/>
      </left>
      <right style="thick">
        <color theme="3" tint="0.39988402966399123"/>
      </right>
      <top style="thick">
        <color theme="3" tint="0.39988402966399123"/>
      </top>
      <bottom/>
      <diagonal/>
    </border>
    <border>
      <left/>
      <right/>
      <top style="thick">
        <color theme="3" tint="0.39988402966399123"/>
      </top>
      <bottom style="thick">
        <color theme="3" tint="0.39994506668294322"/>
      </bottom>
      <diagonal/>
    </border>
    <border>
      <left/>
      <right style="thick">
        <color theme="3" tint="0.39988402966399123"/>
      </right>
      <top style="thick">
        <color theme="3" tint="0.39988402966399123"/>
      </top>
      <bottom style="thick">
        <color theme="3" tint="0.39994506668294322"/>
      </bottom>
      <diagonal/>
    </border>
    <border>
      <left style="thick">
        <color theme="3" tint="0.39988402966399123"/>
      </left>
      <right style="thick">
        <color theme="3" tint="0.39988402966399123"/>
      </right>
      <top/>
      <bottom style="thick">
        <color theme="3" tint="0.39988402966399123"/>
      </bottom>
      <diagonal/>
    </border>
    <border>
      <left style="thick">
        <color theme="3" tint="0.39988402966399123"/>
      </left>
      <right/>
      <top style="thick">
        <color theme="3" tint="0.39994506668294322"/>
      </top>
      <bottom style="medium">
        <color indexed="64"/>
      </bottom>
      <diagonal/>
    </border>
    <border>
      <left/>
      <right/>
      <top style="thick">
        <color theme="3" tint="0.39994506668294322"/>
      </top>
      <bottom style="medium">
        <color indexed="64"/>
      </bottom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85351115451523"/>
      </right>
      <top style="thick">
        <color theme="3" tint="0.39994506668294322"/>
      </top>
      <bottom style="medium">
        <color indexed="64"/>
      </bottom>
      <diagonal/>
    </border>
    <border>
      <left style="thick">
        <color theme="3" tint="0.39988402966399123"/>
      </left>
      <right style="thick">
        <color theme="3" tint="0.39988402966399123"/>
      </right>
      <top/>
      <bottom style="medium">
        <color theme="3" tint="0.39991454817346722"/>
      </bottom>
      <diagonal/>
    </border>
    <border>
      <left style="thick">
        <color theme="3" tint="0.39988402966399123"/>
      </left>
      <right style="medium">
        <color theme="3" tint="0.39985351115451523"/>
      </right>
      <top style="thick">
        <color theme="3" tint="0.399884029663991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thick">
        <color theme="3" tint="0.399884029663991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82299264503923"/>
      </top>
      <bottom style="medium">
        <color theme="3" tint="0.39991454817346722"/>
      </bottom>
      <diagonal/>
    </border>
    <border>
      <left style="medium">
        <color theme="3" tint="0.39985351115451523"/>
      </left>
      <right style="thick">
        <color theme="3" tint="0.39988402966399123"/>
      </right>
      <top style="thick">
        <color theme="3" tint="0.39988402966399123"/>
      </top>
      <bottom style="medium">
        <color theme="3" tint="0.39991454817346722"/>
      </bottom>
      <diagonal/>
    </border>
    <border>
      <left style="thick">
        <color theme="3" tint="0.39988402966399123"/>
      </left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thick">
        <color theme="3" tint="0.39988402966399123"/>
      </left>
      <right style="medium">
        <color theme="3" tint="0.399853511154515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/>
      <top style="medium">
        <color theme="3" tint="0.39991454817346722"/>
      </top>
      <bottom style="medium">
        <color theme="3" tint="0.39991454817346722"/>
      </bottom>
      <diagonal/>
    </border>
    <border>
      <left/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medium">
        <color theme="3" tint="0.39985351115451523"/>
      </left>
      <right style="thick">
        <color theme="3" tint="0.39988402966399123"/>
      </right>
      <top style="medium">
        <color theme="3" tint="0.39991454817346722"/>
      </top>
      <bottom style="medium">
        <color theme="3" tint="0.39991454817346722"/>
      </bottom>
      <diagonal/>
    </border>
    <border>
      <left style="thick">
        <color theme="3" tint="0.39988402966399123"/>
      </left>
      <right style="thick">
        <color theme="3" tint="0.39988402966399123"/>
      </right>
      <top style="medium">
        <color theme="3" tint="0.39991454817346722"/>
      </top>
      <bottom style="thick">
        <color theme="3" tint="0.39988402966399123"/>
      </bottom>
      <diagonal/>
    </border>
    <border>
      <left style="thick">
        <color theme="3" tint="0.39988402966399123"/>
      </left>
      <right style="medium">
        <color theme="3" tint="0.39985351115451523"/>
      </right>
      <top style="medium">
        <color theme="3" tint="0.39991454817346722"/>
      </top>
      <bottom style="thick">
        <color theme="3" tint="0.39988402966399123"/>
      </bottom>
      <diagonal/>
    </border>
    <border>
      <left style="medium">
        <color theme="3" tint="0.39985351115451523"/>
      </left>
      <right style="medium">
        <color theme="3" tint="0.39985351115451523"/>
      </right>
      <top style="medium">
        <color theme="3" tint="0.39991454817346722"/>
      </top>
      <bottom style="thick">
        <color theme="3" tint="0.39988402966399123"/>
      </bottom>
      <diagonal/>
    </border>
    <border>
      <left style="medium">
        <color theme="3" tint="0.39985351115451523"/>
      </left>
      <right style="thick">
        <color theme="3" tint="0.39988402966399123"/>
      </right>
      <top style="medium">
        <color theme="3" tint="0.39991454817346722"/>
      </top>
      <bottom style="thick">
        <color theme="3" tint="0.39988402966399123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</cellStyleXfs>
  <cellXfs count="4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4" fillId="0" borderId="5" xfId="1" applyFont="1" applyBorder="1" applyAlignment="1">
      <alignment vertical="center" wrapText="1"/>
    </xf>
    <xf numFmtId="0" fontId="4" fillId="0" borderId="6" xfId="1" applyFont="1" applyBorder="1" applyAlignment="1">
      <alignment vertical="center" wrapText="1"/>
    </xf>
    <xf numFmtId="0" fontId="4" fillId="0" borderId="7" xfId="1" applyFont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7" fillId="0" borderId="12" xfId="2" applyFont="1" applyFill="1" applyBorder="1" applyAlignment="1">
      <alignment horizontal="center" vertical="center" wrapText="1"/>
    </xf>
    <xf numFmtId="0" fontId="7" fillId="0" borderId="13" xfId="3" applyFont="1" applyFill="1" applyBorder="1" applyAlignment="1">
      <alignment horizontal="center" vertical="center" wrapText="1"/>
    </xf>
    <xf numFmtId="0" fontId="7" fillId="0" borderId="14" xfId="4" applyFont="1" applyFill="1" applyBorder="1" applyAlignment="1">
      <alignment horizontal="center" vertical="center" wrapText="1"/>
    </xf>
    <xf numFmtId="0" fontId="7" fillId="0" borderId="13" xfId="6" applyFont="1" applyFill="1" applyBorder="1" applyAlignment="1">
      <alignment horizontal="center" vertical="center" wrapText="1"/>
    </xf>
    <xf numFmtId="0" fontId="7" fillId="0" borderId="15" xfId="5" applyFont="1" applyFill="1" applyBorder="1" applyAlignment="1">
      <alignment horizontal="center" vertical="center" wrapText="1"/>
    </xf>
    <xf numFmtId="0" fontId="7" fillId="0" borderId="16" xfId="2" applyFont="1" applyFill="1" applyBorder="1" applyAlignment="1">
      <alignment horizontal="center" vertical="center" wrapText="1"/>
    </xf>
    <xf numFmtId="0" fontId="8" fillId="9" borderId="17" xfId="0" applyFont="1" applyFill="1" applyBorder="1" applyAlignment="1">
      <alignment horizontal="center" vertical="center" wrapText="1"/>
    </xf>
    <xf numFmtId="0" fontId="8" fillId="9" borderId="18" xfId="2" applyFont="1" applyFill="1" applyBorder="1" applyAlignment="1" applyProtection="1">
      <alignment horizontal="center" vertical="center" wrapText="1"/>
      <protection locked="0"/>
    </xf>
    <xf numFmtId="0" fontId="8" fillId="9" borderId="19" xfId="0" applyFont="1" applyFill="1" applyBorder="1" applyAlignment="1">
      <alignment horizontal="center" vertical="center" wrapText="1"/>
    </xf>
    <xf numFmtId="0" fontId="8" fillId="10" borderId="20" xfId="0" applyFont="1" applyFill="1" applyBorder="1" applyAlignment="1">
      <alignment horizontal="center" vertical="center" wrapText="1"/>
    </xf>
    <xf numFmtId="0" fontId="7" fillId="0" borderId="21" xfId="3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 wrapText="1"/>
    </xf>
    <xf numFmtId="0" fontId="8" fillId="11" borderId="23" xfId="0" applyFont="1" applyFill="1" applyBorder="1" applyAlignment="1">
      <alignment horizontal="center" vertical="center" wrapText="1"/>
    </xf>
    <xf numFmtId="0" fontId="8" fillId="11" borderId="24" xfId="0" applyFont="1" applyFill="1" applyBorder="1" applyAlignment="1">
      <alignment horizontal="center" vertical="center" wrapText="1"/>
    </xf>
    <xf numFmtId="0" fontId="8" fillId="10" borderId="25" xfId="0" applyFont="1" applyFill="1" applyBorder="1" applyAlignment="1">
      <alignment horizontal="center" vertical="center" wrapText="1"/>
    </xf>
    <xf numFmtId="0" fontId="8" fillId="12" borderId="23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0" fontId="7" fillId="0" borderId="21" xfId="6" applyFont="1" applyFill="1" applyBorder="1" applyAlignment="1">
      <alignment horizontal="center" vertical="center"/>
    </xf>
    <xf numFmtId="0" fontId="8" fillId="7" borderId="22" xfId="0" applyFont="1" applyFill="1" applyBorder="1" applyAlignment="1">
      <alignment horizontal="center" vertical="center" wrapText="1"/>
    </xf>
    <xf numFmtId="0" fontId="8" fillId="13" borderId="23" xfId="0" applyFont="1" applyFill="1" applyBorder="1" applyAlignment="1">
      <alignment horizontal="center" vertical="center" wrapText="1"/>
    </xf>
    <xf numFmtId="0" fontId="7" fillId="0" borderId="27" xfId="5" applyFont="1" applyFill="1" applyBorder="1" applyAlignment="1">
      <alignment horizontal="center" vertical="center"/>
    </xf>
    <xf numFmtId="0" fontId="8" fillId="7" borderId="28" xfId="0" applyFont="1" applyFill="1" applyBorder="1" applyAlignment="1">
      <alignment horizontal="center" vertical="center" wrapText="1"/>
    </xf>
    <xf numFmtId="0" fontId="8" fillId="14" borderId="29" xfId="0" applyFont="1" applyFill="1" applyBorder="1" applyAlignment="1">
      <alignment horizontal="center" vertical="center" wrapText="1"/>
    </xf>
    <xf numFmtId="0" fontId="8" fillId="14" borderId="30" xfId="0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</cellXfs>
  <cellStyles count="7">
    <cellStyle name="20% - Accent1" xfId="2" builtinId="30"/>
    <cellStyle name="20% - Accent4" xfId="4" builtinId="42"/>
    <cellStyle name="20% - Accent6" xfId="6" builtinId="50"/>
    <cellStyle name="40% - Accent1" xfId="3" builtinId="31"/>
    <cellStyle name="Accent6" xfId="5" builtinId="49"/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ID0!$P$13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{688011C3-A47A-4B3E-B3DD-11D17347A1C2}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{954B25E1-5743-4C41-A0D2-9D52C5C00002}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{9B64FA7B-714A-491F-B337-FBBEDD167C2B}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{FBFE2DB2-E862-4B73-A480-2D302F06BDD0}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{A7C70680-60B3-428D-BDC8-C2A252277641}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{D4B5A272-06FB-442F-94BC-9E056F26CD07}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{1CA66C53-5BC0-45BC-B24B-B092740FAB6E}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{3F919780-AFBD-4514-8F47-47FA2EFCE5D4}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{3B849A95-6802-4EE7-BA10-4C9100BD0F91}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{D4B32C17-BA0F-45F6-842B-E71B30C983E3}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{ACB42D26-34C7-433D-A801-3E14B3117BB3}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{ECDA6FFA-3F03-4303-9587-864FC1EAFF7A}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{EC0ECA57-DF08-45BD-9EEE-2CDFA09D58E7}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{917FB7A8-560F-4924-88DC-E821506B0ACA}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{346ABE32-82B2-4EC6-98D3-F9E030B0551E}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{7CFB481B-3395-4B67-9146-30829BE21F21}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{F43C4D2E-9E9E-4E11-A57F-8FBEDB9A0E24}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{4FEFB139-D991-4D1C-9C0F-A5F2A27D9991}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{B3918410-B14D-452B-9C7D-B01A4F9A4B3A}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{04D50584-E10B-432B-B8DC-AD1B4D680B27}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{12CD6D77-230F-40E2-8C8B-6780E26C4F31}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{BFB85423-DAF4-4D0C-99C3-39E7BF109F6A}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{EEA83F22-9636-4782-B72B-68DCD90CD3D4}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{2D739131-5CAE-4000-BDAC-6D4169A2A947}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{F093E768-E4E4-442F-A597-7466DBC0E909}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{95A2B676-5C68-4A3F-8E0D-DDA0D6C5DDA9}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{80F9C9DB-282C-461F-9BFE-E9D0FF17EB95}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{D86E9BE5-357E-495F-9974-EDEB44335CA8}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9D0-4D81-AF18-C47FCE82566F}"/>
            </c:ext>
          </c:extLst>
        </c:ser>
        <c:ser>
          <c:idx val="2"/>
          <c:order val="1"/>
          <c:tx>
            <c:strRef>
              <c:f>ID0!$Q$13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{4B317CA9-A199-4FD8-8068-EC06E90C7D9B}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{4E765AF3-9CBB-4ACF-B2BD-8AD8566927CE}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{87C1D8FF-4191-4857-8645-EB5FD1E639F0}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{7D5131B2-486E-49FB-AE4E-26DDDF239CFA}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{37B9555F-CFB5-4ED9-B288-00648ACE2F77}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{B35EDEC9-B082-40C1-8CB9-FCFDF99866D0}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{EBD64F98-A3CA-48FC-BDCA-879F0A2B58BC}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{E74648EE-CBF0-4CDE-A440-62EEC65D3835}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{A57751CA-5485-4820-B34C-9EC9C581CA4D}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{8A22D433-561B-4139-BD80-9774EEBE1DD6}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{B1897BA6-F330-46D1-BD53-821193AA35C5}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{95ECDD98-C660-404A-819D-A9832219B9DC}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{98FCD418-60CE-461A-BD12-EE3C5B498512}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{3BEC1D71-21BB-45D9-8DA4-A1A16041AE6F}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{E525B8DF-32A2-41BB-AEFC-32FA9D47F736}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{DE5C281E-CF80-4D30-BD9E-1195E09FFD40}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{68A64D5E-56D0-4F67-9942-D1F4B862D731}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{C354FEFA-742E-4EE5-B21C-587BDBBB3DB3}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{CC0B271C-E9B9-4079-AC99-A89600CFB92A}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{172D22F6-4AB9-4080-A157-5F4774F21558}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{E115F41B-D86F-4A2B-BD8E-E54A7EC94E94}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{AF490F0D-1696-4B82-B585-DD52C00AE958}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{2553D720-6860-46F0-ADA9-3203177BCBE8}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{B2BE345E-A89B-44D0-B92E-2C51662800EE}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{0F75E4D1-C4C6-488F-9816-24A85E8ADBE9}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{C760516B-B38E-4754-886D-B5CE53C3B1B2}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{D3730F1C-A69F-4A7C-90D0-D0CF00ECFC01}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{13109D93-47E6-4E76-ADF3-B98C5A58481A}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7.3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7.7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9D0-4D81-AF18-C47FCE82566F}"/>
            </c:ext>
          </c:extLst>
        </c:ser>
        <c:ser>
          <c:idx val="3"/>
          <c:order val="2"/>
          <c:tx>
            <c:strRef>
              <c:f>ID0!$R$13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{999E5D32-FC6A-4DCC-AC44-70B207E0451D}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{9C787C9A-98D7-4683-BD97-43720A113BE1}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{D1B3D4E0-7940-4C15-9F12-E56A3C720F66}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{F4178E2E-DC3C-40AB-B502-46FA45DE4CE7}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{BD0F8F41-B154-4B10-8621-C95ACE3B5472}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{2EB86C71-93F9-429D-AD2A-0EF7536AA3E3}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{463C3774-87D7-4A0D-8C9B-7733E65E2881}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{34556E45-869B-4798-BA6D-036AE3831E06}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{24067D40-22E8-49FB-AF07-A234F6958FF4}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{3748E748-30BB-4E1D-A878-4A609E63C1C7}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{9377C95D-B4E1-4BA3-BFD0-DF3EE381BE3E}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{5DD6A52B-1285-4416-AA17-65C4A793D8E8}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{A9B8A75C-D101-4794-8EB8-B692CF810AD8}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{AC43A50A-E0AD-41E5-9DF7-35DCDC612A94}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{FD4672C9-3D57-45CB-97D6-14935E1C1707}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{A73E6092-8614-4DFC-A71A-3AA6AE1CEFAB}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{3E0A8155-5939-4C1C-AD59-2B04FE00D32F}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{3AD84523-9784-4FA3-8ABA-B5177975B67D}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{92D6A398-211A-4960-B6F1-5D54F2F84539}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{7C69F8CF-53C0-4183-98F4-06B28EFE6AF9}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{6269A987-3B37-452C-9FCF-8AD206A99A95}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{6598662F-45FC-4085-8066-44926190CE08}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{0FD02A3F-B188-4932-8B34-755BBECA072F}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{55CA9696-BC24-4517-82BA-A90595011076}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{4CCC6E5D-FBBB-41B7-BA00-10480A78B2E3}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{096189AD-EC02-4C83-84FC-996F5A6B16C3}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{9926FC80-739A-4275-86E4-463D7BAFBFBF}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{7C24469C-0623-4154-A1FB-2702D210FDCE}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ID0!$R$14:$R$40</c:f>
              <c:numCache>
                <c:formatCode>General</c:formatCode>
                <c:ptCount val="27"/>
                <c:pt idx="0">
                  <c:v>-3.1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-3.3</c:v>
                </c:pt>
                <c:pt idx="7">
                  <c:v>7.9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0.8</c:v>
                </c:pt>
                <c:pt idx="12">
                  <c:v>#N/A</c:v>
                </c:pt>
                <c:pt idx="13">
                  <c:v>#N/A</c:v>
                </c:pt>
                <c:pt idx="14">
                  <c:v>2.2999999999999998</c:v>
                </c:pt>
                <c:pt idx="15">
                  <c:v>#N/A</c:v>
                </c:pt>
                <c:pt idx="16">
                  <c:v>#N/A</c:v>
                </c:pt>
                <c:pt idx="17">
                  <c:v>2.6</c:v>
                </c:pt>
                <c:pt idx="18">
                  <c:v>#N/A</c:v>
                </c:pt>
                <c:pt idx="19">
                  <c:v>7.1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9D0-4D81-AF18-C47FCE82566F}"/>
            </c:ext>
          </c:extLst>
        </c:ser>
        <c:ser>
          <c:idx val="4"/>
          <c:order val="3"/>
          <c:tx>
            <c:strRef>
              <c:f>ID0!$S$13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{38F94280-A6B5-415C-A3F0-92278CC4DDEE}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{E8E0C215-5011-41A6-B4F2-EB3155F64E75}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{59EE1EC2-F82F-4D98-9A59-8791CC7DCB0F}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{A23FDC0D-9FC8-481E-B61C-8D4271C9F7C4}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{16936486-C027-422D-BCFB-3BEC04C2F32A}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{EC6A315C-2AD8-4ED3-8043-E4F9C99CFF7F}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{60917522-7151-4DEF-BB15-187471C9B762}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{736AAA57-DD45-4D81-A0BA-D839E0447264}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{92751EF0-D959-4189-B7AE-0A0A38D370A4}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{1DE1374C-B861-4756-A129-592151A7EA7B}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{AE585188-FF06-4753-B7D5-3ECF7E1A5FCC}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{BEF1B179-EA31-49B3-BAC3-DD2E9F355A78}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{CD103FCE-3714-4651-BE2B-97B5F85E433F}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{9153BC6C-E483-4EBD-8C2F-A1CCE65352F4}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{CCFE163F-7985-406E-B1D7-B4E530A7F1C7}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{2B818DFD-7FB0-442A-B679-69F1410DD9AE}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{D777426D-7E9A-4491-8BA7-2F2D4ED81A55}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{A773BD4E-1278-4A7B-B829-71CBF40D81EE}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{0BF41A2A-6616-4DFE-B509-C1E09018F4AD}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{8DD5901D-F898-4E3B-9669-576C7957F03D}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{496FACF4-2A45-47EF-9F81-B984483EBC49}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{03D87B97-289B-4EB4-BFC6-10B1DDED7947}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{4767DF8C-8CDD-4B2D-9914-AF06C161F4C1}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{A8A29A92-B877-4CA9-BF68-9CE36DFBFA00}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{0F7039C7-0A0B-491D-9553-C599F995C740}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{D26A4923-BBB6-4298-9925-5EDBEFBDBC2A}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{F5EAE899-6BA1-46AF-9558-7E5BE138D793}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{F7FEEA65-5E69-4885-95E9-720B87F8CCEC}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-16.5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-3.6</c:v>
                </c:pt>
                <c:pt idx="13">
                  <c:v>#N/A</c:v>
                </c:pt>
                <c:pt idx="14">
                  <c:v>#N/A</c:v>
                </c:pt>
                <c:pt idx="15">
                  <c:v>-4.9000000000000004</c:v>
                </c:pt>
                <c:pt idx="16">
                  <c:v>2.4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-13.8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09D0-4D81-AF18-C47FCE82566F}"/>
            </c:ext>
          </c:extLst>
        </c:ser>
        <c:ser>
          <c:idx val="5"/>
          <c:order val="4"/>
          <c:tx>
            <c:strRef>
              <c:f>ID0!$T$13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{65B3C8DE-A7E5-44F7-90A4-E24BB7F6EF2D}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{FE929344-0A84-4F6C-B1EA-FE411D4F30DA}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{726F8451-8BA1-4922-AA75-806E221AC656}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{6E3E167F-AFE6-4167-9541-EE6188EFC40A}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{280696DF-9C2A-4DBA-A08D-DFD479C2425C}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{52081C52-BD0A-4534-B9C4-43347D4E319E}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{45793EDD-C136-487B-A31F-CA2E2665D3BB}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{2C8C4DEA-A69F-4F82-A46A-0AC39B7FB61B}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{F61CFC98-1710-418D-9EE9-56C539645D34}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{C5C8D026-78C6-4D0C-AE75-1FEEF37BCE4A}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{C55417E8-ABE5-4F08-B52B-1577F956A33D}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{D9EB04CE-5AF4-4432-8389-4418C58B0041}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{B6703C63-7133-43A3-85CC-195AB6896D86}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{B37243DE-8C7E-460D-8836-8D71FE9B0648}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{8E6E9E6F-2F24-448A-B473-436BE5F14121}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{349CC487-F98D-46F9-83F3-EB159AC19C1A}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{FE7CED6B-1D71-4FFF-BA36-1BEA1F125E91}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{D22AD5BE-03A5-4CD6-9E96-823F6CF883D4}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{619FB8A1-6AD2-478E-BDF3-013A35E51BFB}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{697ED352-A2B2-493E-AE64-2ED6E923EAFD}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{24CCC280-C9E3-456D-A05C-DB945D4937C1}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{75BF17FB-AF62-4A9E-A263-92BA8A9EBEB9}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{DF012D44-8F2B-4799-9926-DE67CBCAB8D2}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{8AA2AD2F-094C-41AE-BABB-726F58CC6D46}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{D73E7328-6D6C-403F-94A4-A970353FC76E}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{6E6F5667-88DB-4A19-BF19-F112978DB42F}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{0DFEA9CB-3038-4166-8C10-38E65C41A03E}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{3CCA3FCF-6190-4F1A-A075-301A43E5E7DB}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-2.2999999999999998</c:v>
                </c:pt>
                <c:pt idx="3">
                  <c:v>#N/A</c:v>
                </c:pt>
                <c:pt idx="4">
                  <c:v>-1.6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-0.6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9D0-4D81-AF18-C47FCE82566F}"/>
            </c:ext>
          </c:extLst>
        </c:ser>
        <c:ser>
          <c:idx val="0"/>
          <c:order val="5"/>
          <c:tx>
            <c:strRef>
              <c:f>ID0!$U$13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{76C8A453-5A3B-4EAC-9500-DFF3E9574AA1}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{F16EBB7C-38BC-40FD-A61C-324E65906863}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{797C50C5-EAC9-458B-8189-B8960E69A491}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{EEE1F6C4-D156-4A2B-B9BA-0D0B5DF9AA84}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{82CE70AC-2448-458E-8CD8-B7B781334D1A}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{40F75EF3-F162-46F6-A791-6E951FBC2F10}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{689FAF8B-CCEB-4B81-ACEE-E950ED7FF4E0}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{7512696A-C96A-4F39-9BB8-D5492FFC27D2}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{C3E7FB09-EC7B-4D4C-927F-C10F2BB81C7F}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{3AC09859-A0A9-4348-92F1-F2D6CFC23E87}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{90B6AA28-C9FE-41FB-AF8D-7937B875DCC9}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{F878C336-51D4-43D2-8D68-A2FC8485A337}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{14495C2A-A902-4978-84B9-53CD665600AC}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{2D0336DF-1648-4E5F-9758-328922C21D17}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{50F59237-965D-4F23-88E2-1DC9EE3D4FBC}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{6A91A1EB-B431-49E8-A17D-4B71D64C3399}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{3A01B5F4-F131-4600-81F1-D1A2E3F47F6C}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{E35CF60B-A55F-4DBB-8992-4638A6042F1E}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{8B8C04B5-5356-4999-8ADB-A4ED7B8AD1A5}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{C1B46B7F-F9BC-4550-A4DB-3FB141A40AD6}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{607AC507-4A06-4EF2-B392-53B61582CC28}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{45A4DC6F-CD54-48BB-9562-1A2040F34195}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{F14A1DF4-2820-434D-8238-9F4704DEDE9A}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{DAF474D4-6309-48D5-8316-B567D653F73C}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{6716A74C-C283-4569-A362-ECACBB08B7B3}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{F6995270-BD5F-4CB6-9315-7B62BEDC59C2}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{F851E8A4-9A0F-43AD-9B39-179E8BD2A0C8}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{33197EAF-D3A2-404C-9187-FA56BB94DECF}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-4.5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-4.9000000000000004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-4.5999999999999996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9D0-4D81-AF18-C47FCE82566F}"/>
            </c:ext>
          </c:extLst>
        </c:ser>
        <c:ser>
          <c:idx val="6"/>
          <c:order val="6"/>
          <c:tx>
            <c:strRef>
              <c:f>ID0!$V$13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ID0!$N$14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{DE08B3A1-DCC4-4DDC-9F9D-E015DEBDC49C}</c15:txfldGUID>
                      <c15:f>ID0!$N$14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09D0-4D81-AF18-C47FCE82566F}"/>
                </c:ext>
              </c:extLst>
            </c:dLbl>
            <c:dLbl>
              <c:idx val="1"/>
              <c:tx>
                <c:strRef>
                  <c:f>ID0!$N$15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{651216E0-487D-48DF-8276-D3DE8E98F761}</c15:txfldGUID>
                      <c15:f>ID0!$N$15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09D0-4D81-AF18-C47FCE82566F}"/>
                </c:ext>
              </c:extLst>
            </c:dLbl>
            <c:dLbl>
              <c:idx val="2"/>
              <c:tx>
                <c:strRef>
                  <c:f>ID0!$N$16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{B99755C1-9A47-4C5D-8338-6EE243305CE9}</c15:txfldGUID>
                      <c15:f>ID0!$N$16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09D0-4D81-AF18-C47FCE82566F}"/>
                </c:ext>
              </c:extLst>
            </c:dLbl>
            <c:dLbl>
              <c:idx val="3"/>
              <c:tx>
                <c:strRef>
                  <c:f>ID0!$N$17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{2051B727-7CF4-48E4-9324-15A833FF08BF}</c15:txfldGUID>
                      <c15:f>ID0!$N$17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09D0-4D81-AF18-C47FCE82566F}"/>
                </c:ext>
              </c:extLst>
            </c:dLbl>
            <c:dLbl>
              <c:idx val="4"/>
              <c:tx>
                <c:strRef>
                  <c:f>ID0!$N$18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{6F8F4DAB-B134-4FEC-A44B-4AEC7F1ACE66}</c15:txfldGUID>
                      <c15:f>ID0!$N$18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09D0-4D81-AF18-C47FCE82566F}"/>
                </c:ext>
              </c:extLst>
            </c:dLbl>
            <c:dLbl>
              <c:idx val="5"/>
              <c:tx>
                <c:strRef>
                  <c:f>ID0!$N$19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{E6E81AC1-F0AA-412B-BB2A-FAD2BA6E291C}</c15:txfldGUID>
                      <c15:f>ID0!$N$19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09D0-4D81-AF18-C47FCE82566F}"/>
                </c:ext>
              </c:extLst>
            </c:dLbl>
            <c:dLbl>
              <c:idx val="6"/>
              <c:tx>
                <c:strRef>
                  <c:f>ID0!$N$20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{EF0CE3CD-475E-488B-9268-FCA8AE1355A6}</c15:txfldGUID>
                      <c15:f>ID0!$N$20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09D0-4D81-AF18-C47FCE82566F}"/>
                </c:ext>
              </c:extLst>
            </c:dLbl>
            <c:dLbl>
              <c:idx val="7"/>
              <c:tx>
                <c:strRef>
                  <c:f>ID0!$N$21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{4914470B-109D-4E04-BA98-167A6C791F26}</c15:txfldGUID>
                      <c15:f>ID0!$N$21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09D0-4D81-AF18-C47FCE82566F}"/>
                </c:ext>
              </c:extLst>
            </c:dLbl>
            <c:dLbl>
              <c:idx val="8"/>
              <c:tx>
                <c:strRef>
                  <c:f>ID0!$N$22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{0D153FB9-AFD2-4C28-BDD8-F3F9941DC029}</c15:txfldGUID>
                      <c15:f>ID0!$N$22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09D0-4D81-AF18-C47FCE82566F}"/>
                </c:ext>
              </c:extLst>
            </c:dLbl>
            <c:dLbl>
              <c:idx val="9"/>
              <c:tx>
                <c:strRef>
                  <c:f>ID0!$N$23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{2DD712F6-38CD-4CE7-AB90-CE81CEB5138D}</c15:txfldGUID>
                      <c15:f>ID0!$N$23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09D0-4D81-AF18-C47FCE82566F}"/>
                </c:ext>
              </c:extLst>
            </c:dLbl>
            <c:dLbl>
              <c:idx val="10"/>
              <c:tx>
                <c:strRef>
                  <c:f>ID0!$N$24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{CB2558AA-05B6-43B6-9595-B200D83A7413}</c15:txfldGUID>
                      <c15:f>ID0!$N$24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09D0-4D81-AF18-C47FCE82566F}"/>
                </c:ext>
              </c:extLst>
            </c:dLbl>
            <c:dLbl>
              <c:idx val="11"/>
              <c:tx>
                <c:strRef>
                  <c:f>ID0!$N$25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{8D17D822-C749-4709-B23F-527BB254C4F4}</c15:txfldGUID>
                      <c15:f>ID0!$N$25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09D0-4D81-AF18-C47FCE82566F}"/>
                </c:ext>
              </c:extLst>
            </c:dLbl>
            <c:dLbl>
              <c:idx val="12"/>
              <c:tx>
                <c:strRef>
                  <c:f>ID0!$N$26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{7DF5BD26-7F88-43E9-B980-CC16B785AF2F}</c15:txfldGUID>
                      <c15:f>ID0!$N$26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09D0-4D81-AF18-C47FCE82566F}"/>
                </c:ext>
              </c:extLst>
            </c:dLbl>
            <c:dLbl>
              <c:idx val="13"/>
              <c:tx>
                <c:strRef>
                  <c:f>ID0!$N$27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{3DE4EC04-8033-4354-BC4E-DA9C4DA689C1}</c15:txfldGUID>
                      <c15:f>ID0!$N$27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09D0-4D81-AF18-C47FCE82566F}"/>
                </c:ext>
              </c:extLst>
            </c:dLbl>
            <c:dLbl>
              <c:idx val="14"/>
              <c:tx>
                <c:strRef>
                  <c:f>ID0!$N$28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{1A62CF1A-2745-40E3-B13D-5987375CDDDF}</c15:txfldGUID>
                      <c15:f>ID0!$N$28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09D0-4D81-AF18-C47FCE82566F}"/>
                </c:ext>
              </c:extLst>
            </c:dLbl>
            <c:dLbl>
              <c:idx val="15"/>
              <c:tx>
                <c:strRef>
                  <c:f>ID0!$N$29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{F4F2F8ED-9046-42B7-95C6-5230B17768A5}</c15:txfldGUID>
                      <c15:f>ID0!$N$29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09D0-4D81-AF18-C47FCE82566F}"/>
                </c:ext>
              </c:extLst>
            </c:dLbl>
            <c:dLbl>
              <c:idx val="16"/>
              <c:tx>
                <c:strRef>
                  <c:f>ID0!$N$30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{4E474826-E7FB-41FF-A49C-387A3D50518D}</c15:txfldGUID>
                      <c15:f>ID0!$N$30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09D0-4D81-AF18-C47FCE82566F}"/>
                </c:ext>
              </c:extLst>
            </c:dLbl>
            <c:dLbl>
              <c:idx val="17"/>
              <c:tx>
                <c:strRef>
                  <c:f>ID0!$N$31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{B5A001AC-ADB9-4A3C-A473-968B55C9D51D}</c15:txfldGUID>
                      <c15:f>ID0!$N$31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09D0-4D81-AF18-C47FCE82566F}"/>
                </c:ext>
              </c:extLst>
            </c:dLbl>
            <c:dLbl>
              <c:idx val="18"/>
              <c:tx>
                <c:strRef>
                  <c:f>ID0!$N$32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{9087E3AD-3EE4-4E88-9638-6E3BC75688D9}</c15:txfldGUID>
                      <c15:f>ID0!$N$32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09D0-4D81-AF18-C47FCE82566F}"/>
                </c:ext>
              </c:extLst>
            </c:dLbl>
            <c:dLbl>
              <c:idx val="19"/>
              <c:tx>
                <c:strRef>
                  <c:f>ID0!$N$33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{FFACC188-FC87-4961-9351-A50A87F90700}</c15:txfldGUID>
                      <c15:f>ID0!$N$33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09D0-4D81-AF18-C47FCE82566F}"/>
                </c:ext>
              </c:extLst>
            </c:dLbl>
            <c:dLbl>
              <c:idx val="20"/>
              <c:tx>
                <c:strRef>
                  <c:f>ID0!$N$34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{3864D509-7B68-4447-9F20-843F3E746710}</c15:txfldGUID>
                      <c15:f>ID0!$N$34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09D0-4D81-AF18-C47FCE82566F}"/>
                </c:ext>
              </c:extLst>
            </c:dLbl>
            <c:dLbl>
              <c:idx val="21"/>
              <c:tx>
                <c:strRef>
                  <c:f>ID0!$N$35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{AF243FC7-333B-41A8-9F38-BB59558558C5}</c15:txfldGUID>
                      <c15:f>ID0!$N$35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09D0-4D81-AF18-C47FCE82566F}"/>
                </c:ext>
              </c:extLst>
            </c:dLbl>
            <c:dLbl>
              <c:idx val="22"/>
              <c:tx>
                <c:strRef>
                  <c:f>ID0!$N$36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{9E03AC68-428E-45C3-9998-8CDA3C7CCF85}</c15:txfldGUID>
                      <c15:f>ID0!$N$36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09D0-4D81-AF18-C47FCE82566F}"/>
                </c:ext>
              </c:extLst>
            </c:dLbl>
            <c:dLbl>
              <c:idx val="23"/>
              <c:tx>
                <c:strRef>
                  <c:f>ID0!$N$37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{013C6890-9BA9-4001-903B-E7C9A1BACFAE}</c15:txfldGUID>
                      <c15:f>ID0!$N$37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09D0-4D81-AF18-C47FCE82566F}"/>
                </c:ext>
              </c:extLst>
            </c:dLbl>
            <c:dLbl>
              <c:idx val="24"/>
              <c:tx>
                <c:strRef>
                  <c:f>ID0!$N$38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{21FE3DD4-DA3F-4043-9E39-E49A927C932B}</c15:txfldGUID>
                      <c15:f>ID0!$N$38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09D0-4D81-AF18-C47FCE82566F}"/>
                </c:ext>
              </c:extLst>
            </c:dLbl>
            <c:dLbl>
              <c:idx val="25"/>
              <c:tx>
                <c:strRef>
                  <c:f>ID0!$N$39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{506AB81A-45E3-4F6F-99B8-F78A3D61606A}</c15:txfldGUID>
                      <c15:f>ID0!$N$39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09D0-4D81-AF18-C47FCE82566F}"/>
                </c:ext>
              </c:extLst>
            </c:dLbl>
            <c:dLbl>
              <c:idx val="26"/>
              <c:tx>
                <c:strRef>
                  <c:f>ID0!$N$40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{267FA5FB-54FC-40D4-91DF-1B63C81C6E0A}</c15:txfldGUID>
                      <c15:f>ID0!$N$40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09D0-4D81-AF18-C47FCE82566F}"/>
                </c:ext>
              </c:extLst>
            </c:dLbl>
            <c:dLbl>
              <c:idx val="27"/>
              <c:tx>
                <c:strRef>
                  <c:f>ID0!$N$41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{4F3F6914-DADA-4A74-AE3F-DAB6F2FBDAE2}</c15:txfldGUID>
                      <c15:f>ID0!$N$41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09D0-4D81-AF18-C47FCE825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ID0!$O$14:$O$40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13.3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09D0-4D81-AF18-C47FCE82566F}"/>
            </c:ext>
          </c:extLst>
        </c:ser>
        <c:ser>
          <c:idx val="7"/>
          <c:order val="7"/>
          <c:tx>
            <c:strRef>
              <c:f>ID0!$J$48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ID0!$K$48:$K$49</c:f>
              <c:numCache>
                <c:formatCode>0.0</c:formatCode>
                <c:ptCount val="2"/>
                <c:pt idx="0">
                  <c:v>9.5</c:v>
                </c:pt>
                <c:pt idx="1">
                  <c:v>66.5</c:v>
                </c:pt>
              </c:numCache>
            </c:numRef>
          </c:xVal>
          <c:yVal>
            <c:numRef>
              <c:f>ID0!$L$48:$L$49</c:f>
              <c:numCache>
                <c:formatCode>0.000</c:formatCode>
                <c:ptCount val="2"/>
                <c:pt idx="0" formatCode="General">
                  <c:v>0.15555555555555559</c:v>
                </c:pt>
                <c:pt idx="1">
                  <c:v>0.15555555555555559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09D0-4D81-AF18-C47FCE82566F}"/>
            </c:ext>
          </c:extLst>
        </c:ser>
        <c:ser>
          <c:idx val="8"/>
          <c:order val="8"/>
          <c:tx>
            <c:strRef>
              <c:f>ID0!$J$51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ID0!$K$51:$K$52</c:f>
              <c:numCache>
                <c:formatCode>0.000</c:formatCode>
                <c:ptCount val="2"/>
                <c:pt idx="0">
                  <c:v>37.766666666666666</c:v>
                </c:pt>
                <c:pt idx="1">
                  <c:v>37.766666666666666</c:v>
                </c:pt>
              </c:numCache>
            </c:numRef>
          </c:xVal>
          <c:yVal>
            <c:numRef>
              <c:f>ID0!$L$51:$L$52</c:f>
              <c:numCache>
                <c:formatCode>0.0</c:formatCode>
                <c:ptCount val="2"/>
                <c:pt idx="0">
                  <c:v>-16.5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09D0-4D81-AF18-C47FCE82566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ID0!$K$14:$K$40</c:f>
              <c:numCache>
                <c:formatCode>General</c:formatCode>
                <c:ptCount val="27"/>
                <c:pt idx="0">
                  <c:v>52.2</c:v>
                </c:pt>
                <c:pt idx="1">
                  <c:v>34.9</c:v>
                </c:pt>
                <c:pt idx="2">
                  <c:v>9.5</c:v>
                </c:pt>
                <c:pt idx="3">
                  <c:v>28.3</c:v>
                </c:pt>
                <c:pt idx="4">
                  <c:v>21.2</c:v>
                </c:pt>
                <c:pt idx="5">
                  <c:v>53.7</c:v>
                </c:pt>
                <c:pt idx="6">
                  <c:v>47.1</c:v>
                </c:pt>
                <c:pt idx="7">
                  <c:v>41.8</c:v>
                </c:pt>
                <c:pt idx="8">
                  <c:v>15.1</c:v>
                </c:pt>
                <c:pt idx="9">
                  <c:v>34.1</c:v>
                </c:pt>
                <c:pt idx="10">
                  <c:v>51.8</c:v>
                </c:pt>
                <c:pt idx="11">
                  <c:v>49.2</c:v>
                </c:pt>
                <c:pt idx="12">
                  <c:v>23.3</c:v>
                </c:pt>
                <c:pt idx="13">
                  <c:v>62.2</c:v>
                </c:pt>
                <c:pt idx="14">
                  <c:v>48.3</c:v>
                </c:pt>
                <c:pt idx="15">
                  <c:v>29</c:v>
                </c:pt>
                <c:pt idx="16">
                  <c:v>27.4</c:v>
                </c:pt>
                <c:pt idx="17">
                  <c:v>45.2</c:v>
                </c:pt>
                <c:pt idx="18">
                  <c:v>34.1</c:v>
                </c:pt>
                <c:pt idx="19">
                  <c:v>39.9</c:v>
                </c:pt>
                <c:pt idx="20">
                  <c:v>56.1</c:v>
                </c:pt>
                <c:pt idx="21">
                  <c:v>20.3</c:v>
                </c:pt>
                <c:pt idx="22">
                  <c:v>33.4</c:v>
                </c:pt>
                <c:pt idx="23">
                  <c:v>19.100000000000001</c:v>
                </c:pt>
                <c:pt idx="24">
                  <c:v>66.5</c:v>
                </c:pt>
                <c:pt idx="25">
                  <c:v>26.5</c:v>
                </c:pt>
                <c:pt idx="26">
                  <c:v>49.5</c:v>
                </c:pt>
              </c:numCache>
            </c:numRef>
          </c:xVal>
          <c:yVal>
            <c:numRef>
              <c:f>ID0!$L$14:$L$40</c:f>
              <c:numCache>
                <c:formatCode>General</c:formatCode>
                <c:ptCount val="27"/>
                <c:pt idx="0">
                  <c:v>-3.1</c:v>
                </c:pt>
                <c:pt idx="1">
                  <c:v>-4.5</c:v>
                </c:pt>
                <c:pt idx="2">
                  <c:v>-2.2999999999999998</c:v>
                </c:pt>
                <c:pt idx="3">
                  <c:v>-16.5</c:v>
                </c:pt>
                <c:pt idx="4">
                  <c:v>-1.6</c:v>
                </c:pt>
                <c:pt idx="5">
                  <c:v>7.3</c:v>
                </c:pt>
                <c:pt idx="6">
                  <c:v>-3.3</c:v>
                </c:pt>
                <c:pt idx="7">
                  <c:v>7.9</c:v>
                </c:pt>
                <c:pt idx="8">
                  <c:v>-0.9</c:v>
                </c:pt>
                <c:pt idx="9">
                  <c:v>3.7</c:v>
                </c:pt>
                <c:pt idx="10">
                  <c:v>0.4</c:v>
                </c:pt>
                <c:pt idx="11">
                  <c:v>0.8</c:v>
                </c:pt>
                <c:pt idx="12">
                  <c:v>-3.6</c:v>
                </c:pt>
                <c:pt idx="13">
                  <c:v>7.4</c:v>
                </c:pt>
                <c:pt idx="14">
                  <c:v>2.2999999999999998</c:v>
                </c:pt>
                <c:pt idx="15">
                  <c:v>-4.9000000000000004</c:v>
                </c:pt>
                <c:pt idx="16">
                  <c:v>2.4</c:v>
                </c:pt>
                <c:pt idx="17">
                  <c:v>2.6</c:v>
                </c:pt>
                <c:pt idx="18">
                  <c:v>-4.9000000000000004</c:v>
                </c:pt>
                <c:pt idx="19">
                  <c:v>7.1</c:v>
                </c:pt>
                <c:pt idx="20">
                  <c:v>-1</c:v>
                </c:pt>
                <c:pt idx="21">
                  <c:v>-0.6</c:v>
                </c:pt>
                <c:pt idx="22">
                  <c:v>-4.5999999999999996</c:v>
                </c:pt>
                <c:pt idx="23">
                  <c:v>13.3</c:v>
                </c:pt>
                <c:pt idx="24">
                  <c:v>7.7</c:v>
                </c:pt>
                <c:pt idx="25">
                  <c:v>-13.8</c:v>
                </c:pt>
                <c:pt idx="26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09D0-4D81-AF18-C47FCE82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ID0!$K$5</c:f>
              <c:strCache>
                <c:ptCount val="1"/>
                <c:pt idx="0">
                  <c:v>Adult participation in learning (during the last 12 months, excl. guided on the job training, % of the population aged 25-64)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ID0!$K$9</c:f>
              <c:strCache>
                <c:ptCount val="1"/>
                <c:pt idx="0">
                  <c:v>Adult participation in learning (during the last 12 months, excl. guided on the job training, % of the population aged 25-64)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{6293B59E-4046-4581-9467-1AEC203DC8AA}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{7802A9F7-15B7-4C74-9191-89E94164357D}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{22A2DD81-FBF2-41B2-AA87-2D2D3E938AF8}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{AA43A2DF-4652-4484-8244-2B7535E2622B}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{97892208-4301-4DBE-A195-14DDB1CE776B}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{072182FC-8770-4C2A-842F-EB6FA25B9490}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{AFAA8EDE-1292-4CDD-B693-4F0B2956D3E6}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{CCAEABB1-3C67-45AE-A665-0094DD578B33}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{DA6D76AA-73D9-423F-838E-189690E8833F}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{5E70A164-1150-4776-A775-2C639447BDC0}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{8C1F7478-0CA1-48B9-9E9B-15134210B3A7}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{F51EBB74-2FF5-481D-9452-99C51C95CF15}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{399B3E7D-38A7-473C-9A4D-129AB63694B0}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{2CD83C2F-3599-484B-A6F8-E96806D3FEEF}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{21336CA0-C6CD-41CB-BEBD-52C4DE104D35}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{AAFE1F80-50F6-4306-8C15-FA0EEDCD60B7}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{3B012C07-4E19-4D49-9375-D42FA4CEC706}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{CDA4FB59-C0EB-40E3-9375-C14FCAE972B6}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{86034CC0-BDE5-490B-8B1F-F77A07173EF1}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{ECC999E9-5098-4C31-8599-4211B373CF3A}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{1E36806D-1D2D-41EB-9D34-9ACE86A63A08}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{77CD1E88-2DB3-49A1-A71D-78F12D8AF0E0}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{899EDB0B-D638-4D03-B067-743114864A0B}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{B1144E32-9322-44B8-BB86-99A1F260A452}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{01A11458-1ACD-4CB7-A8CE-B7408AB84F88}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{F08E26E7-DF12-4E67-8AF1-165E69C4A4E2}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{846B7CD7-9CB1-4C84-A6A0-614DC54126D2}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{E5D57ED4-C650-413F-B075-E0DECA4C35CF}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1.6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F40-4C78-A670-0B4118C9A78F}"/>
            </c:ext>
          </c:extLst>
        </c:ser>
        <c:ser>
          <c:idx val="2"/>
          <c:order val="1"/>
          <c:tx>
            <c:strRef>
              <c:f>'ID1'!$Q$13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{0E2CB708-F59F-4E81-A22E-BC7B3B2C1D74}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{1B11CF71-38BA-4288-8166-51CC4E5D221A}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{9B5229FF-C463-4CB4-BBFE-6DB9D8D1935F}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{F25DB59D-C0B1-48B9-9882-B5E3BB6B72D8}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{C59C975C-0AFB-4C08-916F-3AB12F4E09DB}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{CECB37CD-402B-4AA9-956F-18A08192B5A6}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{50FD5B6D-B36D-4D2B-8BBD-6E816FFBCB43}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{80204B04-884F-4A94-8F15-594F0F026270}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{EA50FDDA-D113-4C50-8A26-AF67D5110235}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{2B00414E-5C4B-4261-8F68-996E74E3AA98}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{84BE9B6C-CCD3-464C-A458-B44852C31771}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{6C0457B0-357A-4859-ACCB-C574A58BA50F}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{13F2934A-4FB6-48E6-898A-F85824C1E3CB}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{367F1284-61DF-46CF-9549-616B60ECF8D2}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{289B4D1D-B534-463B-8AB3-17EB36893A82}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{1904037D-D963-48D6-B580-21964BC3748D}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{BC329E8E-8D04-4584-BAE5-3AC32873C224}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{F668D81B-7D1C-489F-9462-5755107C0E47}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{D664FA3A-6021-4159-A72A-8C9CBFF345BB}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{E591A5D2-FDF0-48B6-BF5B-31A705C47C13}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{09BFCCFA-D96C-4F59-8E12-DED15CCF2040}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{7D45E45C-9ED2-48FB-A393-C4D6DC2BA06B}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{67678FD5-C7A8-46F7-99D3-E02AB7F37F6B}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{8C1B5BAB-0934-4FB6-AF7F-3F05EA151B15}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{C49756FE-56C6-4C82-A6BC-8853DD4ED966}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{CCC39C61-F2F2-4D79-A3BF-6B4842DD8756}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{EEFE08A2-9412-4FAB-92F6-0974DD48C16B}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{04AC58E4-C6A8-4E8D-9EC6-96E652803591}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-0.1</c:v>
                </c:pt>
                <c:pt idx="13">
                  <c:v>#N/A</c:v>
                </c:pt>
                <c:pt idx="14">
                  <c:v>0.3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F40-4C78-A670-0B4118C9A78F}"/>
            </c:ext>
          </c:extLst>
        </c:ser>
        <c:ser>
          <c:idx val="3"/>
          <c:order val="2"/>
          <c:tx>
            <c:strRef>
              <c:f>'ID1'!$R$13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{E3D407E2-72C1-47D2-83A8-05A3610D9EC4}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{8BA11999-A58D-498B-B53C-E6DB6A1E3E51}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{BBF85DD6-3089-4B79-AFB6-F347BD304B54}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{106A029E-B7FD-4916-8C49-AEF0DE686F6C}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{FA0B3C1E-BC5E-46D8-ACEA-71E9BA01CB25}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{2DA44123-D545-431E-B561-57D49FD60D31}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{256C69EB-69FD-4792-AF0D-13C74ACCC626}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{F007F90D-1107-428B-AF3D-CB562630AF0D}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{7F181E2D-7CBC-46D4-B950-BBEF8A0A0F27}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{367CD6D6-D18C-47D5-9918-9CEFA22DE060}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{09D7A022-D4A1-4CFF-8F85-EE717801C63D}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{375DACF6-C192-4862-A2B0-0ABBED03715D}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{DD974F75-05B3-42E7-9BA2-80312611176F}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{354DB5B1-9AD9-4883-B248-985699CDDCD0}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{830EFE45-7DE7-4800-88C6-CDD900EF0A1A}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{A13EB522-10B3-494F-8681-B7DA31EABF8A}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{A76A0CD3-6932-4519-8B0C-765E99AC9475}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{D7A0FFD6-251E-41D8-BECA-BFB004672970}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{9AE0CDE7-551D-469E-9FCD-4F199717A706}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{935928B2-AB3D-4124-A8DE-7B6E5B6F4948}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{7F32F588-DEEB-4780-9071-9B801DABE5FC}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{CEC9DB05-6954-4060-8036-461AFBE66A66}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{02BB9EC4-858B-4F3F-90A4-C5A630B83C76}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{10A06636-2D3D-446E-9152-DA500943D041}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{B64E5C00-4D7F-4B93-86D7-B3E24BA5103C}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{16983843-4C5C-4A93-AD3E-12C16B1A97EC}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{0913E1DA-7F15-44B9-895B-F2FA40624967}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{33DE5CAD-604A-415F-AA71-DCF1DE921101}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-0.2</c:v>
                </c:pt>
                <c:pt idx="2">
                  <c:v>-1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-1.1000000000000001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-1.4</c:v>
                </c:pt>
                <c:pt idx="18">
                  <c:v>#N/A</c:v>
                </c:pt>
                <c:pt idx="19">
                  <c:v>#N/A</c:v>
                </c:pt>
                <c:pt idx="20">
                  <c:v>0.6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-1.4</c:v>
                </c:pt>
                <c:pt idx="25">
                  <c:v>#N/A</c:v>
                </c:pt>
                <c:pt idx="26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F40-4C78-A670-0B4118C9A78F}"/>
            </c:ext>
          </c:extLst>
        </c:ser>
        <c:ser>
          <c:idx val="4"/>
          <c:order val="3"/>
          <c:tx>
            <c:strRef>
              <c:f>'ID1'!$S$13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{B7802177-B28E-482C-A6F5-E7533022C2B2}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{6F57EF00-20F8-40A0-9F4D-BBA014D82D19}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{C5AD9E4A-D688-4CE7-826A-C62352D3F114}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{BCF71860-50AE-458F-9871-46BC6EF38F11}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{1C23F906-8A68-4B74-A450-2E9288B46552}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{0FF49C94-90C3-453F-8B9F-2C89CD59C583}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{4B11E5C4-54DD-4F40-96A1-1F257D44FDAB}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{C7B9DE9D-6C3F-489D-A16B-0A79DFCD55E4}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{D9F38BF7-87CA-4290-A2AF-98170FD6D538}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{C823B8D6-8627-40DD-9C21-823E43A390D4}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{D5BDD722-E578-4D0B-9F61-E28ACF4F4F9E}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{B61150C3-731E-4590-B1F3-F2DACDD1EBD5}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{C08567B9-0BE4-4561-B1E8-67F6EAB2785D}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{63774E26-F5AE-4FEF-9248-BBB10FFEC4DA}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{513029EC-26B5-426D-8A1C-F7EEE0B68F7A}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{7BBA646B-B963-49C9-A713-2E383A5CE740}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{650ABC85-9A2E-41F1-86D6-60DDF50D0AB3}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{7398F129-E135-4AE0-AD25-8A9F7D119235}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{EF62E3D6-C4DB-478C-B3FD-D73FE0A1314E}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{03F64A43-269E-4838-8AEF-0E0BE2F9179E}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{8A7B18BD-C04B-4DC3-807B-6F02D70124E0}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{2FA8AC68-C8FB-4D3F-B19F-ABF0404A059D}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{25D9199E-F654-461E-9877-F82FF2CEC8EB}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{8677A871-0122-4A17-9876-9097BE27A341}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{3193186E-800A-4956-9446-A6142264422A}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{14C4D0F3-3D73-47E3-9A69-A279873097F2}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{EC1808BF-21B4-4CC9-9E6C-0307AE7099B6}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{597B1908-8720-4221-ABE5-6A7CB3A7E696}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0.4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-0.1</c:v>
                </c:pt>
                <c:pt idx="20">
                  <c:v>#N/A</c:v>
                </c:pt>
                <c:pt idx="21">
                  <c:v>#N/A</c:v>
                </c:pt>
                <c:pt idx="22">
                  <c:v>1.8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F40-4C78-A670-0B4118C9A78F}"/>
            </c:ext>
          </c:extLst>
        </c:ser>
        <c:ser>
          <c:idx val="5"/>
          <c:order val="4"/>
          <c:tx>
            <c:strRef>
              <c:f>'ID1'!$T$13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{6DEB0CDF-D159-4C9E-B3D9-ACF03D60B2B4}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{98391225-B7C3-4890-B8AE-B61640DB9207}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{D4DFE825-E3B1-400F-8BD5-8507217D2AAE}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{047585A9-5DFB-4807-B96A-D09B66AA74D4}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{D063B552-AE09-49BE-A61F-85E0157DA770}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{B33EA7FE-0C31-435F-B637-9E0450A5F064}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{B6B69DA4-1875-47D7-968E-773BBC349D38}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{DF2187A9-C9F5-47D8-AD5C-DA64782A9E4C}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{0FC49353-AD25-4DB5-8439-65C911AF3BDE}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{87DCBBFD-A4A4-4251-A69E-FE6514531BA4}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{D6BA58FF-681F-48CE-85B4-DE9E576CE850}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{C439E774-9498-4BFB-A736-D25880D3B5DD}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{0B7C7D8B-CA50-408C-B295-F45AC9578C54}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{88F141C1-70B6-4220-9ADE-1E7848C92758}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{49EEA4C1-248B-4B05-995F-A2CFEF174897}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{923C6148-5589-48D1-A663-2649DB68B5AA}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{DB6242C8-1190-4B31-A17B-A0C555F729E4}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{0C1234C0-D8B3-4866-842C-12DB5477E27D}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{9EF18BC9-4F9A-40ED-8F63-6AEB2619B0A5}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{295607BF-2487-48A5-9554-AA35A7ED0B7F}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{2EFA894F-A2E2-43DA-BEB3-1FAD067E751C}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{36B21895-09AE-4E85-8B52-E8DB8DC4DBFD}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{0278AAAC-B374-4663-8AD3-3E9C23A893D1}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{A509DE37-5979-4282-B243-D9F2FD229B97}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{7B647B2E-8C8E-4383-8DBC-FE07C72468D7}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{B5BDD21C-E657-4019-B522-790D9EB427F8}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{9F56ED64-24AD-4E39-B718-E689BFB83C0C}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{576E07B4-8B6A-45CB-A2BE-00DDD860DF7A}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-0.8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F40-4C78-A670-0B4118C9A78F}"/>
            </c:ext>
          </c:extLst>
        </c:ser>
        <c:ser>
          <c:idx val="0"/>
          <c:order val="5"/>
          <c:tx>
            <c:strRef>
              <c:f>'ID1'!$U$13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{CBC80AFC-3C72-46D3-92C4-AC13C687946D}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{0FDC084D-AA53-45DE-9F8A-D352BA257738}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{F7F03371-1A83-4510-80F2-1AD27F3640BD}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{7F42CBFC-0D39-4CE4-A810-7F199D9C628F}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{E90BBA36-C955-45FC-9513-64AF247CE01E}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{C5B8335D-CDB0-4E50-A119-FC57599E2EA9}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{219D4C7D-6BEC-4690-B949-612BF87D1ADE}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{41C890FA-CED4-4F35-B193-E2935919BC67}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{191AA86E-8F8D-42FF-B85F-EF2D3A939FE9}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{DBFF7A75-F908-4AF0-B68B-45C173D7EA7D}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{FB4E436B-7A02-4CE7-9547-566C46107DED}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{32096973-0AB8-4A4D-8F53-59C0FD4D9124}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{960927BF-384F-4744-805D-025010EC5831}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{76C40ADA-20FF-4099-AF5A-423DE7DDEA7C}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{F8018A30-BC8C-4AFA-8229-8A94F9AF5EC7}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{4F6615A2-F017-448D-9A7C-48BED1370BFE}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{CA501BB1-F08D-47CF-BDAD-4F524D8CF58D}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{941DA19D-027F-4447-A816-DAF827070CB5}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{94BF48B3-019F-487E-9FDC-A31BE8A6EB66}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{E284091A-E8C6-4B50-A9E2-07D9CE51110B}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{B433C9D6-BABC-4204-9524-5A3B071BECE6}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{38D0F433-57C7-4DB8-BE22-3F5AC433722B}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{A628361E-96C4-4327-99B8-67544B8D3D95}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{418BC54B-F94F-43AC-8467-812567992EC0}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{88A253F6-00D6-4F76-AED1-35A66B08C3FE}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{5C9CD458-7040-40FB-A451-3F0FBB1C93E6}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{41A18816-4685-4365-A3B1-F23EBD0730F1}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{B25C0277-1FD0-42DD-BEE5-408AB1C33AEE}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'ID1'!$U$14:$U$40</c:f>
              <c:numCache>
                <c:formatCode>General</c:formatCode>
                <c:ptCount val="27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F40-4C78-A670-0B4118C9A78F}"/>
            </c:ext>
          </c:extLst>
        </c:ser>
        <c:ser>
          <c:idx val="6"/>
          <c:order val="6"/>
          <c:tx>
            <c:strRef>
              <c:f>'ID1'!$V$13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{DB7EB3EF-5B86-44A5-BF67-54EA57E65938}</c15:txfldGUID>
                      <c15:f>'ID1'!$N$14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EF40-4C78-A670-0B4118C9A78F}"/>
                </c:ext>
              </c:extLst>
            </c:dLbl>
            <c:dLbl>
              <c:idx val="1"/>
              <c:tx>
                <c:strRef>
                  <c:f>'ID1'!$N$15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{D0F8747C-4B0B-4BEE-8366-9605600272F3}</c15:txfldGUID>
                      <c15:f>'ID1'!$N$15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EF40-4C78-A670-0B4118C9A78F}"/>
                </c:ext>
              </c:extLst>
            </c:dLbl>
            <c:dLbl>
              <c:idx val="2"/>
              <c:tx>
                <c:strRef>
                  <c:f>'ID1'!$N$16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{15659FFF-4861-4A22-B999-49993B398778}</c15:txfldGUID>
                      <c15:f>'ID1'!$N$16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EF40-4C78-A670-0B4118C9A78F}"/>
                </c:ext>
              </c:extLst>
            </c:dLbl>
            <c:dLbl>
              <c:idx val="3"/>
              <c:tx>
                <c:strRef>
                  <c:f>'ID1'!$N$17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{223C2F3E-E577-429E-9C6A-FE3BF29348C3}</c15:txfldGUID>
                      <c15:f>'ID1'!$N$17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EF40-4C78-A670-0B4118C9A78F}"/>
                </c:ext>
              </c:extLst>
            </c:dLbl>
            <c:dLbl>
              <c:idx val="4"/>
              <c:tx>
                <c:strRef>
                  <c:f>'ID1'!$N$18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{759A10A0-1377-4DA5-92F8-8BFF491B5E0E}</c15:txfldGUID>
                      <c15:f>'ID1'!$N$18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EF40-4C78-A670-0B4118C9A78F}"/>
                </c:ext>
              </c:extLst>
            </c:dLbl>
            <c:dLbl>
              <c:idx val="5"/>
              <c:tx>
                <c:strRef>
                  <c:f>'ID1'!$N$19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{3883F481-B379-4AF5-A914-DDAA08AA5A66}</c15:txfldGUID>
                      <c15:f>'ID1'!$N$19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EF40-4C78-A670-0B4118C9A78F}"/>
                </c:ext>
              </c:extLst>
            </c:dLbl>
            <c:dLbl>
              <c:idx val="6"/>
              <c:tx>
                <c:strRef>
                  <c:f>'ID1'!$N$20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{DC528E17-14B5-4A28-8EF0-1A3711757775}</c15:txfldGUID>
                      <c15:f>'ID1'!$N$20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EF40-4C78-A670-0B4118C9A78F}"/>
                </c:ext>
              </c:extLst>
            </c:dLbl>
            <c:dLbl>
              <c:idx val="7"/>
              <c:tx>
                <c:strRef>
                  <c:f>'ID1'!$N$21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{9E3AF679-C986-48A5-88E9-3B0489E03BA7}</c15:txfldGUID>
                      <c15:f>'ID1'!$N$21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EF40-4C78-A670-0B4118C9A78F}"/>
                </c:ext>
              </c:extLst>
            </c:dLbl>
            <c:dLbl>
              <c:idx val="8"/>
              <c:tx>
                <c:strRef>
                  <c:f>'ID1'!$N$22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{D6BC9F40-D514-458B-AB3C-9BB5CDF5C4A7}</c15:txfldGUID>
                      <c15:f>'ID1'!$N$22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EF40-4C78-A670-0B4118C9A78F}"/>
                </c:ext>
              </c:extLst>
            </c:dLbl>
            <c:dLbl>
              <c:idx val="9"/>
              <c:tx>
                <c:strRef>
                  <c:f>'ID1'!$N$23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{FBA85E0E-F5A7-462C-9E0D-93F4B5BD174E}</c15:txfldGUID>
                      <c15:f>'ID1'!$N$23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EF40-4C78-A670-0B4118C9A78F}"/>
                </c:ext>
              </c:extLst>
            </c:dLbl>
            <c:dLbl>
              <c:idx val="10"/>
              <c:tx>
                <c:strRef>
                  <c:f>'ID1'!$N$24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{210CC49F-DFE9-4A84-ABBF-65E6CACE1B7A}</c15:txfldGUID>
                      <c15:f>'ID1'!$N$24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EF40-4C78-A670-0B4118C9A78F}"/>
                </c:ext>
              </c:extLst>
            </c:dLbl>
            <c:dLbl>
              <c:idx val="11"/>
              <c:tx>
                <c:strRef>
                  <c:f>'ID1'!$N$25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{C420D082-D0D4-4A31-89B7-2681948338DF}</c15:txfldGUID>
                      <c15:f>'ID1'!$N$25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EF40-4C78-A670-0B4118C9A78F}"/>
                </c:ext>
              </c:extLst>
            </c:dLbl>
            <c:dLbl>
              <c:idx val="12"/>
              <c:tx>
                <c:strRef>
                  <c:f>'ID1'!$N$26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{4CEDC195-7980-45B5-B2BA-29EC485123DF}</c15:txfldGUID>
                      <c15:f>'ID1'!$N$26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EF40-4C78-A670-0B4118C9A78F}"/>
                </c:ext>
              </c:extLst>
            </c:dLbl>
            <c:dLbl>
              <c:idx val="13"/>
              <c:tx>
                <c:strRef>
                  <c:f>'ID1'!$N$27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{FA3151EE-D274-4D81-B2F3-3A2681B7C1A9}</c15:txfldGUID>
                      <c15:f>'ID1'!$N$27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EF40-4C78-A670-0B4118C9A78F}"/>
                </c:ext>
              </c:extLst>
            </c:dLbl>
            <c:dLbl>
              <c:idx val="14"/>
              <c:tx>
                <c:strRef>
                  <c:f>'ID1'!$N$28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{9C429046-309F-452E-957B-7E6454826F83}</c15:txfldGUID>
                      <c15:f>'ID1'!$N$28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EF40-4C78-A670-0B4118C9A78F}"/>
                </c:ext>
              </c:extLst>
            </c:dLbl>
            <c:dLbl>
              <c:idx val="15"/>
              <c:tx>
                <c:strRef>
                  <c:f>'ID1'!$N$29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{030C276B-95FA-4992-B3FE-A508973AA7F3}</c15:txfldGUID>
                      <c15:f>'ID1'!$N$29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EF40-4C78-A670-0B4118C9A78F}"/>
                </c:ext>
              </c:extLst>
            </c:dLbl>
            <c:dLbl>
              <c:idx val="16"/>
              <c:tx>
                <c:strRef>
                  <c:f>'ID1'!$N$30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{61AC3314-E67C-4C84-A648-26C1A9C35B42}</c15:txfldGUID>
                      <c15:f>'ID1'!$N$30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EF40-4C78-A670-0B4118C9A78F}"/>
                </c:ext>
              </c:extLst>
            </c:dLbl>
            <c:dLbl>
              <c:idx val="17"/>
              <c:tx>
                <c:strRef>
                  <c:f>'ID1'!$N$31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{65C2DA72-C1FD-4A00-8F7C-A40DD45C2F25}</c15:txfldGUID>
                      <c15:f>'ID1'!$N$31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EF40-4C78-A670-0B4118C9A78F}"/>
                </c:ext>
              </c:extLst>
            </c:dLbl>
            <c:dLbl>
              <c:idx val="18"/>
              <c:tx>
                <c:strRef>
                  <c:f>'ID1'!$N$32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{74D21CCE-0B4A-449B-986C-5F650BDF97A4}</c15:txfldGUID>
                      <c15:f>'ID1'!$N$32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EF40-4C78-A670-0B4118C9A78F}"/>
                </c:ext>
              </c:extLst>
            </c:dLbl>
            <c:dLbl>
              <c:idx val="19"/>
              <c:tx>
                <c:strRef>
                  <c:f>'ID1'!$N$33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{64796707-2633-4D1D-AF22-0EABB2E35CE7}</c15:txfldGUID>
                      <c15:f>'ID1'!$N$33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EF40-4C78-A670-0B4118C9A78F}"/>
                </c:ext>
              </c:extLst>
            </c:dLbl>
            <c:dLbl>
              <c:idx val="20"/>
              <c:tx>
                <c:strRef>
                  <c:f>'ID1'!$N$34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{9944C787-1F03-4E83-8CDE-5DD70D1AB4D6}</c15:txfldGUID>
                      <c15:f>'ID1'!$N$34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EF40-4C78-A670-0B4118C9A78F}"/>
                </c:ext>
              </c:extLst>
            </c:dLbl>
            <c:dLbl>
              <c:idx val="21"/>
              <c:tx>
                <c:strRef>
                  <c:f>'ID1'!$N$35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{7D3D8A07-0343-4552-9D0E-0B8AEB346471}</c15:txfldGUID>
                      <c15:f>'ID1'!$N$35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EF40-4C78-A670-0B4118C9A78F}"/>
                </c:ext>
              </c:extLst>
            </c:dLbl>
            <c:dLbl>
              <c:idx val="22"/>
              <c:tx>
                <c:strRef>
                  <c:f>'ID1'!$N$36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{CAAECA16-E415-4810-AA1C-17E5C698A536}</c15:txfldGUID>
                      <c15:f>'ID1'!$N$36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EF40-4C78-A670-0B4118C9A78F}"/>
                </c:ext>
              </c:extLst>
            </c:dLbl>
            <c:dLbl>
              <c:idx val="23"/>
              <c:tx>
                <c:strRef>
                  <c:f>'ID1'!$N$37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{39BCAB7F-CF3F-49EE-90AE-001E5B0630EA}</c15:txfldGUID>
                      <c15:f>'ID1'!$N$37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EF40-4C78-A670-0B4118C9A78F}"/>
                </c:ext>
              </c:extLst>
            </c:dLbl>
            <c:dLbl>
              <c:idx val="24"/>
              <c:tx>
                <c:strRef>
                  <c:f>'ID1'!$N$38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{59FC9ED7-3286-4AFE-B98A-C6F5AF774A42}</c15:txfldGUID>
                      <c15:f>'ID1'!$N$38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EF40-4C78-A670-0B4118C9A78F}"/>
                </c:ext>
              </c:extLst>
            </c:dLbl>
            <c:dLbl>
              <c:idx val="25"/>
              <c:tx>
                <c:strRef>
                  <c:f>'ID1'!$N$39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{2DCD9C0B-FA73-4DEC-949E-315BD59FFFFE}</c15:txfldGUID>
                      <c15:f>'ID1'!$N$39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EF40-4C78-A670-0B4118C9A78F}"/>
                </c:ext>
              </c:extLst>
            </c:dLbl>
            <c:dLbl>
              <c:idx val="26"/>
              <c:tx>
                <c:strRef>
                  <c:f>'ID1'!$N$40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{508246B1-5B5F-4681-B79D-398FF9794A7A}</c15:txfldGUID>
                      <c15:f>'ID1'!$N$40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EF40-4C78-A670-0B4118C9A78F}"/>
                </c:ext>
              </c:extLst>
            </c:dLbl>
            <c:dLbl>
              <c:idx val="27"/>
              <c:tx>
                <c:strRef>
                  <c:f>'ID1'!$N$41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{C3D395A4-3D62-443E-8993-2F549A1BDA1F}</c15:txfldGUID>
                      <c15:f>'ID1'!$N$41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EF40-4C78-A670-0B4118C9A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'ID1'!$O$14:$O$40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EF40-4C78-A670-0B4118C9A78F}"/>
            </c:ext>
          </c:extLst>
        </c:ser>
        <c:ser>
          <c:idx val="7"/>
          <c:order val="7"/>
          <c:tx>
            <c:strRef>
              <c:f>'ID1'!$J$48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'ID1'!$K$48:$K$49</c:f>
              <c:numCache>
                <c:formatCode>0.0</c:formatCode>
                <c:ptCount val="2"/>
                <c:pt idx="0">
                  <c:v>2</c:v>
                </c:pt>
                <c:pt idx="1">
                  <c:v>16.600000000000001</c:v>
                </c:pt>
              </c:numCache>
            </c:numRef>
          </c:xVal>
          <c:yVal>
            <c:numRef>
              <c:f>'ID1'!$L$48:$L$49</c:f>
              <c:numCache>
                <c:formatCode>0.000</c:formatCode>
                <c:ptCount val="2"/>
                <c:pt idx="0" formatCode="General">
                  <c:v>8.8888888888888892E-2</c:v>
                </c:pt>
                <c:pt idx="1">
                  <c:v>8.8888888888888892E-2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EF40-4C78-A670-0B4118C9A78F}"/>
            </c:ext>
          </c:extLst>
        </c:ser>
        <c:ser>
          <c:idx val="8"/>
          <c:order val="8"/>
          <c:tx>
            <c:strRef>
              <c:f>'ID1'!$J$51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'ID1'!$K$51:$K$52</c:f>
              <c:numCache>
                <c:formatCode>0.000</c:formatCode>
                <c:ptCount val="2"/>
                <c:pt idx="0">
                  <c:v>8.1999999999999993</c:v>
                </c:pt>
                <c:pt idx="1">
                  <c:v>8.1999999999999993</c:v>
                </c:pt>
              </c:numCache>
            </c:numRef>
          </c:xVal>
          <c:yVal>
            <c:numRef>
              <c:f>'ID1'!$L$51:$L$52</c:f>
              <c:numCache>
                <c:formatCode>0.0</c:formatCode>
                <c:ptCount val="2"/>
                <c:pt idx="0">
                  <c:v>-1.4</c:v>
                </c:pt>
                <c:pt idx="1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EF40-4C78-A670-0B4118C9A78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'ID1'!$K$14:$K$40</c:f>
              <c:numCache>
                <c:formatCode>General</c:formatCode>
                <c:ptCount val="27"/>
                <c:pt idx="0">
                  <c:v>8.6</c:v>
                </c:pt>
                <c:pt idx="1">
                  <c:v>6.2</c:v>
                </c:pt>
                <c:pt idx="2">
                  <c:v>9.3000000000000007</c:v>
                </c:pt>
                <c:pt idx="3">
                  <c:v>10.4</c:v>
                </c:pt>
                <c:pt idx="4">
                  <c:v>6.4</c:v>
                </c:pt>
                <c:pt idx="5">
                  <c:v>12.8</c:v>
                </c:pt>
                <c:pt idx="6">
                  <c:v>10.4</c:v>
                </c:pt>
                <c:pt idx="7">
                  <c:v>9.6999999999999993</c:v>
                </c:pt>
                <c:pt idx="8">
                  <c:v>3.7</c:v>
                </c:pt>
                <c:pt idx="9">
                  <c:v>13.7</c:v>
                </c:pt>
                <c:pt idx="10">
                  <c:v>9.6</c:v>
                </c:pt>
                <c:pt idx="11">
                  <c:v>7.6</c:v>
                </c:pt>
                <c:pt idx="12">
                  <c:v>2</c:v>
                </c:pt>
                <c:pt idx="13">
                  <c:v>11.6</c:v>
                </c:pt>
                <c:pt idx="14">
                  <c:v>4</c:v>
                </c:pt>
                <c:pt idx="15">
                  <c:v>10.5</c:v>
                </c:pt>
                <c:pt idx="16">
                  <c:v>6.4</c:v>
                </c:pt>
                <c:pt idx="17">
                  <c:v>6.8</c:v>
                </c:pt>
                <c:pt idx="18">
                  <c:v>7.7</c:v>
                </c:pt>
                <c:pt idx="19">
                  <c:v>10.199999999999999</c:v>
                </c:pt>
                <c:pt idx="20">
                  <c:v>6.2</c:v>
                </c:pt>
                <c:pt idx="21">
                  <c:v>3.7</c:v>
                </c:pt>
                <c:pt idx="22">
                  <c:v>8.1</c:v>
                </c:pt>
                <c:pt idx="23">
                  <c:v>16.600000000000001</c:v>
                </c:pt>
                <c:pt idx="24">
                  <c:v>7.4</c:v>
                </c:pt>
                <c:pt idx="25">
                  <c:v>5.4</c:v>
                </c:pt>
                <c:pt idx="26">
                  <c:v>6.4</c:v>
                </c:pt>
              </c:numCache>
            </c:numRef>
          </c:xVal>
          <c:yVal>
            <c:numRef>
              <c:f>'ID1'!$L$14:$L$40</c:f>
              <c:numCache>
                <c:formatCode>General</c:formatCode>
                <c:ptCount val="27"/>
                <c:pt idx="0">
                  <c:v>0.2</c:v>
                </c:pt>
                <c:pt idx="1">
                  <c:v>-0.2</c:v>
                </c:pt>
                <c:pt idx="2">
                  <c:v>-1</c:v>
                </c:pt>
                <c:pt idx="3">
                  <c:v>2.2999999999999998</c:v>
                </c:pt>
                <c:pt idx="4">
                  <c:v>0.2</c:v>
                </c:pt>
                <c:pt idx="5">
                  <c:v>0.1</c:v>
                </c:pt>
                <c:pt idx="6">
                  <c:v>0.4</c:v>
                </c:pt>
                <c:pt idx="7">
                  <c:v>-1.1000000000000001</c:v>
                </c:pt>
                <c:pt idx="8">
                  <c:v>-0.4</c:v>
                </c:pt>
                <c:pt idx="9">
                  <c:v>-0.2</c:v>
                </c:pt>
                <c:pt idx="10">
                  <c:v>1.2</c:v>
                </c:pt>
                <c:pt idx="11">
                  <c:v>0</c:v>
                </c:pt>
                <c:pt idx="12">
                  <c:v>-0.1</c:v>
                </c:pt>
                <c:pt idx="13">
                  <c:v>-0.8</c:v>
                </c:pt>
                <c:pt idx="14">
                  <c:v>0.3</c:v>
                </c:pt>
                <c:pt idx="15">
                  <c:v>-1</c:v>
                </c:pt>
                <c:pt idx="16">
                  <c:v>1.6</c:v>
                </c:pt>
                <c:pt idx="17">
                  <c:v>-1.4</c:v>
                </c:pt>
                <c:pt idx="18">
                  <c:v>1</c:v>
                </c:pt>
                <c:pt idx="19">
                  <c:v>-0.1</c:v>
                </c:pt>
                <c:pt idx="20">
                  <c:v>0.6</c:v>
                </c:pt>
                <c:pt idx="21">
                  <c:v>-1</c:v>
                </c:pt>
                <c:pt idx="22">
                  <c:v>1.8</c:v>
                </c:pt>
                <c:pt idx="23">
                  <c:v>1</c:v>
                </c:pt>
                <c:pt idx="24">
                  <c:v>-1.4</c:v>
                </c:pt>
                <c:pt idx="25">
                  <c:v>1.4</c:v>
                </c:pt>
                <c:pt idx="26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EF40-4C78-A670-0B4118C9A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'ID1'!$K$5</c:f>
              <c:strCache>
                <c:ptCount val="1"/>
                <c:pt idx="0">
                  <c:v>Early leavers from education and training (% of population aged 18-24)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'ID1'!$K$9</c:f>
              <c:strCache>
                <c:ptCount val="1"/>
                <c:pt idx="0">
                  <c:v>Early leavers from education and training (% of population aged 18-24)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'ID4'!$P$13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{543DE936-989B-4D01-BF75-B98DEA6FB135}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{459890D0-95DA-4FCF-9709-40A478AA0616}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{71E45AD6-FC2E-4AE6-8F33-27D66529728B}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{E6BEECE6-7180-47A6-A828-BC49CF86D22D}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{4CE10147-8092-4EF0-A7B7-6E3B37A749E8}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{B818F6AB-DEC5-4519-A2AE-0102CA7ADC1E}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{0A016F63-126A-484A-913C-3CF4199853DD}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{35DCD70E-5A8D-43BD-B169-D431960FC43F}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{81B864EC-7037-44F0-9D48-7CD8E480A33E}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{BB842A21-D280-4271-AEDA-6ADA815879A0}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{DA9DF938-3629-410B-80B6-ACA13922389B}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{469381F0-D0A1-4493-BF97-FCFB13981DD3}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{0AD747F4-F0D4-4465-8FBD-E69ED1676D41}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{452D4661-D87D-4418-BD77-CA625EFA5B76}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{6A42E9CD-8C25-4163-9852-5FEDF8481CD2}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{1E466610-21BE-4CC8-943E-1F263D2C9A79}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{24D3DF50-6DFD-4086-91FD-B9AD9499C42A}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{0B46C78A-A346-4C85-A0C3-11A152D03699}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{2601F865-3359-4DBD-B6E1-827FA3ACCC7A}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{7BCBE267-A022-4F19-BD8A-E5944706FC4B}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{87D7132C-1E9E-4D7D-BF8C-F5C2238F2856}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{D7CB6157-E213-4670-BCA8-80FB27112423}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{539D3A92-AAE8-450A-8246-E6A9DDAAD7DA}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{D5A9EE50-C679-48F8-A968-01994504EFB6}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{4FDBE8DA-2B73-4E67-80EE-78F39E9A095B}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{E2A464D0-B14E-4A28-8799-E443D2F09F67}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{1971CF59-B211-46AF-B137-4DE7E6589D4E}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{F8BDABE2-7F40-40DF-B2EE-0ACB57AA7208}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82D-4C63-BB45-F620C352869A}"/>
            </c:ext>
          </c:extLst>
        </c:ser>
        <c:ser>
          <c:idx val="2"/>
          <c:order val="1"/>
          <c:tx>
            <c:strRef>
              <c:f>'ID4'!$Q$13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{39777D83-22CC-4F1F-8F12-5CF94C00E335}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{8BCB367E-5BF9-48BB-A0E8-03B48D33B707}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{CBD6FE4B-EE18-4CB9-B0A6-6723D69A6DE5}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{397ED282-CA92-4F64-B473-4C69AFFF17E6}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{8568F871-0657-42F3-9512-8F43CD38D7EF}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{A1BAE9C9-3795-4FCD-979E-0EABBD41A351}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{E4B60A0F-B7E4-4B6D-9F4F-29D9E2CBEEE9}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{B522B8D2-0376-4798-9E0E-52E019E1F8A4}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{3EF97F4E-FB7A-4415-91F4-61A7E6052AE8}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{7393D299-A7A2-418D-8655-EE61DEF86DDA}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{AFA15419-7948-4386-B7A9-792A39BAED73}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{61C64C6B-7137-4607-A6EA-8724235B0069}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{C214553C-3FF2-49B0-8FD3-A08FE9C10867}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{18F816EA-ADC6-47A8-BB6A-D42192734B73}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{5034AC17-2BFF-402D-95BE-E0936209CCEC}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{544F59AD-241F-4895-A83E-8762313BD97A}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{284D12F8-6F3D-4F35-BAC5-1C2251A3D05B}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{EA171322-A888-4643-BFE5-0AF71AB36D09}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{2AE7A3A9-49DB-4E37-B287-C878D7066B40}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{3E40AB56-1D4F-43E8-A48F-99237A40899B}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{D4CCBDAA-7A7E-4D67-A330-F42D7D345587}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{C4C3E9F7-F7DC-4A1F-9098-EFEEF08F3638}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{AAFB1186-88E3-4098-A6D3-FF3A6F170FFB}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{98471AD7-E936-46F6-BDE3-25AEF9DBB649}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{B0D2BFD0-CDF2-49EE-B78A-087335BDFDB6}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{0575780D-078C-498D-8884-F668F65FAF48}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{568A7EA3-53C9-49E0-8A70-50DBF033C6E5}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{8EBB84CC-C549-451C-8348-2131868DD433}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2.81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2.42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3.76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82D-4C63-BB45-F620C352869A}"/>
            </c:ext>
          </c:extLst>
        </c:ser>
        <c:ser>
          <c:idx val="3"/>
          <c:order val="2"/>
          <c:tx>
            <c:strRef>
              <c:f>'ID4'!$R$13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{73898ED4-7CF1-4A5B-98BE-EE1B6194292F}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{A72E6AAD-B1D0-42A7-9358-84A7622CA62B}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{53089AB5-E524-43B6-895C-C3DAAA3D2CF6}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{8437EDD6-2261-458D-9885-2EF14C766F69}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{30E0F586-C239-4576-90B1-29541E269BA9}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{C199672A-0763-4AAC-964D-D9716C8E0EC2}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{6EE993DB-FFBA-4D13-ADB5-EBDC61DC373B}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{668DE7A8-468D-44CE-AEF5-909A2074213A}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{8324B703-01AA-47D8-B079-0162591EE258}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{BEB85418-A637-4E8C-BC21-EDCFBE5E4CDA}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{5A066A6A-2580-4C7B-B876-BD6D45D0ABD7}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{82134532-86A4-4551-98C1-1E5E6E30191A}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{DDB276A8-62DD-4C0B-B48D-C1B4ED8409EF}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{A4CC548C-0C7E-4F72-A8A5-FA723D63DE2F}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{A52E0221-DD36-4953-A524-17810529D654}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{9C2C8E53-8B58-45D8-ABFE-B0AF367CA11A}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{796AB85F-A996-4619-B8CC-079B5C864D3A}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{D02508BC-5841-423E-BF1B-C4BCBDFE01DF}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{D058B9B5-38CC-4247-99CF-B0805C41FD82}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{1182EC0D-59F2-4338-8FF9-733B18CE9944}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{A7FCD297-6B55-43AF-8B44-99817FA49646}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{F17629D7-C048-4F85-8DFF-682D0619DD58}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{E12D76E6-7419-4AEB-9B70-9DBDDE902CEB}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{6483E9B6-BF1E-4D32-BD9A-BD1A763FBC4D}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{6E45973E-622A-486D-BA1A-2CBB686DF796}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{4815528A-52FB-47F2-A999-3D368B2B5672}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{1D5E0320-239A-4231-9EA3-0ACA3963D41E}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{F4C467AD-2FE3-425D-A2F1-F649F0AB5EED}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'ID4'!$R$14:$R$40</c:f>
              <c:numCache>
                <c:formatCode>General</c:formatCode>
                <c:ptCount val="27"/>
                <c:pt idx="0">
                  <c:v>1.35</c:v>
                </c:pt>
                <c:pt idx="1">
                  <c:v>5.16</c:v>
                </c:pt>
                <c:pt idx="2">
                  <c:v>#N/A</c:v>
                </c:pt>
                <c:pt idx="3">
                  <c:v>#N/A</c:v>
                </c:pt>
                <c:pt idx="4">
                  <c:v>9.42</c:v>
                </c:pt>
                <c:pt idx="5">
                  <c:v>#N/A</c:v>
                </c:pt>
                <c:pt idx="6">
                  <c:v>0.97</c:v>
                </c:pt>
                <c:pt idx="7">
                  <c:v>6.24</c:v>
                </c:pt>
                <c:pt idx="8">
                  <c:v>#N/A</c:v>
                </c:pt>
                <c:pt idx="9">
                  <c:v>2.02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9.8000000000000007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-0.16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82D-4C63-BB45-F620C352869A}"/>
            </c:ext>
          </c:extLst>
        </c:ser>
        <c:ser>
          <c:idx val="4"/>
          <c:order val="3"/>
          <c:tx>
            <c:strRef>
              <c:f>'ID4'!$S$13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{F996FFCD-9A19-4366-A41F-AEBEE3334FB5}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{284BA424-A391-4904-9FB2-3449F8E2D729}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{ACCCD3F1-E21E-4AE4-B272-5A35585550F8}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{C41C4473-C15A-4ED4-8C81-6BADAD714457}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{0D116637-473E-494A-A4D5-487F0CA56C10}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{4C7CE559-C926-44A7-B9C4-16BF6271D5EB}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{DFCB91AD-F2F9-4E60-8667-872DEB4522A7}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{2632EAE8-03E1-40D7-B685-B228409CDE9B}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{609D2837-50D7-40DA-B261-0670FDA512CD}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{CCDCD189-02B2-471A-9D93-86D85857A181}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{751C2DC6-3234-4249-BE55-29CFD24BAE1E}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{D3736F01-645A-4B94-A84C-2331F3796608}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{200B8FAE-918A-43CB-BCF7-DFB0E6442ECC}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{97313559-6E2E-421D-9B75-1F444EFB4AD1}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{6EC9F708-DBE9-4B43-9B62-77552B034723}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{3C3A9268-2246-4AF0-8DBC-FA814E738F42}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{A98145FC-DCE5-46B1-AE73-D04EC911EBD4}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{F9CDCC30-DFB6-43F4-9BA2-31C64BFA53BC}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{5B9B0D0A-FCD4-41A6-A104-D179BABF80C8}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{6E3ED3F6-36D6-460B-B39A-ECFA02E467EF}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{46688AE5-40D4-4ED0-8CBA-51DFCB0D84C1}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{217AE5FF-4377-40B8-AF55-1CD972D31099}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{5A8C1D40-0C5F-41AE-B56B-2096DD18D413}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{F6DE68F0-4E75-48BA-B5D1-ECCF20979DF4}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{138212A2-9C10-4AD6-84C2-4F9B429766EB}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{9FE00994-6DFC-486E-8864-8C0CB003386C}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{FB0825D7-700E-4C03-8265-A9EDCC103C9C}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{1AB3B17E-C82B-4F64-9449-EE287FB824D0}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-0.75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-4.42</c:v>
                </c:pt>
                <c:pt idx="13">
                  <c:v>#N/A</c:v>
                </c:pt>
                <c:pt idx="14">
                  <c:v>#N/A</c:v>
                </c:pt>
                <c:pt idx="15">
                  <c:v>0.15</c:v>
                </c:pt>
                <c:pt idx="16">
                  <c:v>#N/A</c:v>
                </c:pt>
                <c:pt idx="17">
                  <c:v>-3.65</c:v>
                </c:pt>
                <c:pt idx="18">
                  <c:v>-5.46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-2.97</c:v>
                </c:pt>
                <c:pt idx="26">
                  <c:v>-3.87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82D-4C63-BB45-F620C352869A}"/>
            </c:ext>
          </c:extLst>
        </c:ser>
        <c:ser>
          <c:idx val="5"/>
          <c:order val="4"/>
          <c:tx>
            <c:strRef>
              <c:f>'ID4'!$T$13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{1543506F-AACC-42B6-989D-640FBE856F9D}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{45985B8C-9497-499C-B933-2CA1B98E8A57}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{8B22C05A-04BF-41B3-84E3-400CC5FF7DC3}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{028EEF1C-85A6-4F00-AD54-7337D4B2B9C6}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{6B91691D-C380-4009-B6B6-9C67D4F1F99F}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{F9333387-BED9-467F-AD21-D1AE11329494}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{4CC4031E-9184-4DD7-8EE7-C525C6A58531}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{5FEB9502-3674-4DBB-AEB4-B5BAC5BEB0B3}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{D6A951F1-C795-49E3-B3A3-E870ECBF5B62}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{1E8EAF3B-C7B7-4BC5-BCE6-2CC9C7E1D3EE}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{237488C5-51ED-400E-8B11-CC74CDEFDCC3}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{FBC71A56-05E7-44C7-BB33-5033378EB94B}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{7F5E87ED-1462-433C-BAFD-FE9474E565B1}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{B14D5F45-4628-41E1-BE95-B497B5A8B257}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{4137C26E-F404-4E1B-B35E-AEA422647422}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{05B7AC33-718D-4608-B3AB-CFBBA5102C25}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{0C6DEE7E-1EC9-4965-9219-51FAE0E730A6}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{56BEEE55-9928-4CF0-91B2-AFB186C1AE25}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{8CE6CB1A-941C-4641-9985-251ADDCA1D41}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{020155EA-E3B5-4077-B04F-AA6A34474A95}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{D4F73FA1-5CD3-4BF6-8328-BCA5E9DE18EE}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{E0C02A7F-BC82-4059-A23B-2131945315E0}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{71C95ECA-3380-46F8-AC89-4DE0E82AFBA4}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{71DA37CD-9590-4020-B967-2EC5FFDC817C}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{D3556D4D-24F8-4E6E-888C-6C1B3B78FAE9}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{0B22DB7B-D07E-4781-A195-9569C880E76E}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{97AE50AB-0872-4EE5-82B2-8F8FBC59D673}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{2F3B2EBC-8DAE-43F7-8EC0-D7BF2DC086C8}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4.34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1.37</c:v>
                </c:pt>
                <c:pt idx="22">
                  <c:v>#N/A</c:v>
                </c:pt>
                <c:pt idx="23">
                  <c:v>-0.09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82D-4C63-BB45-F620C352869A}"/>
            </c:ext>
          </c:extLst>
        </c:ser>
        <c:ser>
          <c:idx val="0"/>
          <c:order val="5"/>
          <c:tx>
            <c:strRef>
              <c:f>'ID4'!$U$13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{DC666CEE-4FAF-4C95-A89F-EA8082C01AE1}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{9103B8C2-D339-49B2-8BFE-BE0557F69560}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{A8D9F045-3D68-4BC2-BBC1-7B1106CB7D81}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{EC564E48-E397-4BC8-938C-026E6B22C642}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{0024FA1E-4806-48DD-ABA0-19E57E2BF552}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{D4ABB58D-4283-4899-9803-E40F3075171C}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{E6707A9A-3A69-43E0-9F89-ADE29E754B2C}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{8E472275-5006-4597-B854-E3D3C4CC86D5}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{0C2D520E-7959-4258-9DC9-68D83833619F}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{E9C6ED25-80C5-47E3-84D4-989D5F0F7E7F}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{BBE80B8E-41A9-40D2-8B39-EC757D5C0FCC}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{90CC2DD7-4192-496D-9398-DD4F301370F8}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{C4A36F5F-BEB8-4473-B03B-90228C2D6B0F}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{38A7EA98-A404-4ECF-89F4-698C51978B6C}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{AEA4EAFD-01F0-4216-8E99-21F59330F7B0}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{649596F3-6AE9-44C6-9480-EF3761FF7E46}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{7C0C7296-7654-4DB2-9006-D543828723CE}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{1746B896-2318-499B-BB81-194DF7FE90E5}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{B29D64B1-ED75-40C0-B0C9-3C43D8D867F2}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{1AE64970-5457-482B-BF48-FA68568DC8B3}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{1EB43165-F7ED-45D9-8742-5B017B98C4EE}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{CA09882D-6E4C-4ABB-A100-E847FA98C2AA}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{3A109A85-04D4-4199-B8C3-45E1E93C9A22}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{BBABD56F-7ADC-4E51-AAC9-D3E09151CB64}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{37D4483F-B391-4A5E-9476-BFC1B660375E}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{2CDD1E31-4F1A-457B-950A-A59D36043E8D}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{C3DBA0B5-FA45-4223-A0F3-BB1F972369FE}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{3CE7005C-1FE6-4DB3-9CC4-631D08B89E73}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3.3</c:v>
                </c:pt>
                <c:pt idx="6">
                  <c:v>#N/A</c:v>
                </c:pt>
                <c:pt idx="7">
                  <c:v>#N/A</c:v>
                </c:pt>
                <c:pt idx="8">
                  <c:v>-0.08</c:v>
                </c:pt>
                <c:pt idx="9">
                  <c:v>#N/A</c:v>
                </c:pt>
                <c:pt idx="10">
                  <c:v>#N/A</c:v>
                </c:pt>
                <c:pt idx="11">
                  <c:v>-2.29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4.07</c:v>
                </c:pt>
                <c:pt idx="17">
                  <c:v>#N/A</c:v>
                </c:pt>
                <c:pt idx="18">
                  <c:v>#N/A</c:v>
                </c:pt>
                <c:pt idx="19">
                  <c:v>1.79</c:v>
                </c:pt>
                <c:pt idx="20">
                  <c:v>#N/A</c:v>
                </c:pt>
                <c:pt idx="21">
                  <c:v>#N/A</c:v>
                </c:pt>
                <c:pt idx="22">
                  <c:v>0.66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82D-4C63-BB45-F620C352869A}"/>
            </c:ext>
          </c:extLst>
        </c:ser>
        <c:ser>
          <c:idx val="6"/>
          <c:order val="6"/>
          <c:tx>
            <c:strRef>
              <c:f>'ID4'!$V$13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{2A0FB272-CC30-4B22-A66D-9ACE899AEE5F}</c15:txfldGUID>
                      <c15:f>'ID4'!$N$14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82D-4C63-BB45-F620C352869A}"/>
                </c:ext>
              </c:extLst>
            </c:dLbl>
            <c:dLbl>
              <c:idx val="1"/>
              <c:tx>
                <c:strRef>
                  <c:f>'ID4'!$N$15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{D93276DE-AB7B-4674-ABF1-D94374C91655}</c15:txfldGUID>
                      <c15:f>'ID4'!$N$15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82D-4C63-BB45-F620C352869A}"/>
                </c:ext>
              </c:extLst>
            </c:dLbl>
            <c:dLbl>
              <c:idx val="2"/>
              <c:tx>
                <c:strRef>
                  <c:f>'ID4'!$N$16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{8313F78B-D2F4-49A2-8681-B8621E731792}</c15:txfldGUID>
                      <c15:f>'ID4'!$N$16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82D-4C63-BB45-F620C352869A}"/>
                </c:ext>
              </c:extLst>
            </c:dLbl>
            <c:dLbl>
              <c:idx val="3"/>
              <c:tx>
                <c:strRef>
                  <c:f>'ID4'!$N$17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{46468D51-A258-4079-88FD-0A9FFC883445}</c15:txfldGUID>
                      <c15:f>'ID4'!$N$17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82D-4C63-BB45-F620C352869A}"/>
                </c:ext>
              </c:extLst>
            </c:dLbl>
            <c:dLbl>
              <c:idx val="4"/>
              <c:tx>
                <c:strRef>
                  <c:f>'ID4'!$N$18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{BB54CD8C-6592-4B99-8ADA-87140D36B12E}</c15:txfldGUID>
                      <c15:f>'ID4'!$N$18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82D-4C63-BB45-F620C352869A}"/>
                </c:ext>
              </c:extLst>
            </c:dLbl>
            <c:dLbl>
              <c:idx val="5"/>
              <c:tx>
                <c:strRef>
                  <c:f>'ID4'!$N$19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{E52003F5-23A0-48C5-8D21-8411EDF45ADB}</c15:txfldGUID>
                      <c15:f>'ID4'!$N$19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82D-4C63-BB45-F620C352869A}"/>
                </c:ext>
              </c:extLst>
            </c:dLbl>
            <c:dLbl>
              <c:idx val="6"/>
              <c:tx>
                <c:strRef>
                  <c:f>'ID4'!$N$20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{C49AFA34-B441-407B-9DF1-C4A48F19D85C}</c15:txfldGUID>
                      <c15:f>'ID4'!$N$20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82D-4C63-BB45-F620C352869A}"/>
                </c:ext>
              </c:extLst>
            </c:dLbl>
            <c:dLbl>
              <c:idx val="7"/>
              <c:tx>
                <c:strRef>
                  <c:f>'ID4'!$N$21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{A89D92B4-66E1-4F26-99BD-67A6804388B5}</c15:txfldGUID>
                      <c15:f>'ID4'!$N$21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82D-4C63-BB45-F620C352869A}"/>
                </c:ext>
              </c:extLst>
            </c:dLbl>
            <c:dLbl>
              <c:idx val="8"/>
              <c:tx>
                <c:strRef>
                  <c:f>'ID4'!$N$22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{7C161EBE-B338-4168-A1AE-9D8549CF1DCB}</c15:txfldGUID>
                      <c15:f>'ID4'!$N$22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82D-4C63-BB45-F620C352869A}"/>
                </c:ext>
              </c:extLst>
            </c:dLbl>
            <c:dLbl>
              <c:idx val="9"/>
              <c:tx>
                <c:strRef>
                  <c:f>'ID4'!$N$23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{CAC43EB4-4DAF-41C5-86A7-2F6D241862E2}</c15:txfldGUID>
                      <c15:f>'ID4'!$N$23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82D-4C63-BB45-F620C352869A}"/>
                </c:ext>
              </c:extLst>
            </c:dLbl>
            <c:dLbl>
              <c:idx val="10"/>
              <c:tx>
                <c:strRef>
                  <c:f>'ID4'!$N$24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{E7409F1D-9C11-4B32-AC4D-754633AB17A1}</c15:txfldGUID>
                      <c15:f>'ID4'!$N$24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82D-4C63-BB45-F620C352869A}"/>
                </c:ext>
              </c:extLst>
            </c:dLbl>
            <c:dLbl>
              <c:idx val="11"/>
              <c:tx>
                <c:strRef>
                  <c:f>'ID4'!$N$25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{0FD835FF-5A21-468E-8586-3CE40DE2482C}</c15:txfldGUID>
                      <c15:f>'ID4'!$N$25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82D-4C63-BB45-F620C352869A}"/>
                </c:ext>
              </c:extLst>
            </c:dLbl>
            <c:dLbl>
              <c:idx val="12"/>
              <c:tx>
                <c:strRef>
                  <c:f>'ID4'!$N$26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{D7C588C1-1EEB-4493-A55D-6769E2102C48}</c15:txfldGUID>
                      <c15:f>'ID4'!$N$26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82D-4C63-BB45-F620C352869A}"/>
                </c:ext>
              </c:extLst>
            </c:dLbl>
            <c:dLbl>
              <c:idx val="13"/>
              <c:tx>
                <c:strRef>
                  <c:f>'ID4'!$N$27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{55402C2A-9EE9-4FD1-BBC1-A8BDC6347129}</c15:txfldGUID>
                      <c15:f>'ID4'!$N$27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82D-4C63-BB45-F620C352869A}"/>
                </c:ext>
              </c:extLst>
            </c:dLbl>
            <c:dLbl>
              <c:idx val="14"/>
              <c:tx>
                <c:strRef>
                  <c:f>'ID4'!$N$28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{0B9C6069-5123-47B4-959C-5ADD42B74AFE}</c15:txfldGUID>
                      <c15:f>'ID4'!$N$28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82D-4C63-BB45-F620C352869A}"/>
                </c:ext>
              </c:extLst>
            </c:dLbl>
            <c:dLbl>
              <c:idx val="15"/>
              <c:tx>
                <c:strRef>
                  <c:f>'ID4'!$N$29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{165A1A07-F8F0-428B-96A3-C333FE422DBE}</c15:txfldGUID>
                      <c15:f>'ID4'!$N$29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82D-4C63-BB45-F620C352869A}"/>
                </c:ext>
              </c:extLst>
            </c:dLbl>
            <c:dLbl>
              <c:idx val="16"/>
              <c:tx>
                <c:strRef>
                  <c:f>'ID4'!$N$30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{D0506A57-9478-4CF7-A7D8-C44A7595F3EE}</c15:txfldGUID>
                      <c15:f>'ID4'!$N$30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82D-4C63-BB45-F620C352869A}"/>
                </c:ext>
              </c:extLst>
            </c:dLbl>
            <c:dLbl>
              <c:idx val="17"/>
              <c:tx>
                <c:strRef>
                  <c:f>'ID4'!$N$31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{F913669E-00FA-458F-9A29-88EBF411CEE4}</c15:txfldGUID>
                      <c15:f>'ID4'!$N$31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82D-4C63-BB45-F620C352869A}"/>
                </c:ext>
              </c:extLst>
            </c:dLbl>
            <c:dLbl>
              <c:idx val="18"/>
              <c:tx>
                <c:strRef>
                  <c:f>'ID4'!$N$32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{80530FA4-E31B-46C5-836D-837ADAE19C0A}</c15:txfldGUID>
                      <c15:f>'ID4'!$N$32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82D-4C63-BB45-F620C352869A}"/>
                </c:ext>
              </c:extLst>
            </c:dLbl>
            <c:dLbl>
              <c:idx val="19"/>
              <c:tx>
                <c:strRef>
                  <c:f>'ID4'!$N$33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{4228E585-1307-4592-BA59-04D7E6F48129}</c15:txfldGUID>
                      <c15:f>'ID4'!$N$33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82D-4C63-BB45-F620C352869A}"/>
                </c:ext>
              </c:extLst>
            </c:dLbl>
            <c:dLbl>
              <c:idx val="20"/>
              <c:tx>
                <c:strRef>
                  <c:f>'ID4'!$N$34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{34E3982B-E956-4DB7-9769-5C2388DE0418}</c15:txfldGUID>
                      <c15:f>'ID4'!$N$34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82D-4C63-BB45-F620C352869A}"/>
                </c:ext>
              </c:extLst>
            </c:dLbl>
            <c:dLbl>
              <c:idx val="21"/>
              <c:tx>
                <c:strRef>
                  <c:f>'ID4'!$N$35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{EEDB4A1E-8854-4B37-AA75-D045D6F1BC08}</c15:txfldGUID>
                      <c15:f>'ID4'!$N$35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82D-4C63-BB45-F620C352869A}"/>
                </c:ext>
              </c:extLst>
            </c:dLbl>
            <c:dLbl>
              <c:idx val="22"/>
              <c:tx>
                <c:strRef>
                  <c:f>'ID4'!$N$36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{1BAF7397-E03B-4D57-864A-4E31DF35F359}</c15:txfldGUID>
                      <c15:f>'ID4'!$N$36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82D-4C63-BB45-F620C352869A}"/>
                </c:ext>
              </c:extLst>
            </c:dLbl>
            <c:dLbl>
              <c:idx val="23"/>
              <c:tx>
                <c:strRef>
                  <c:f>'ID4'!$N$37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{48A9D6F1-D0F5-4766-87D3-82730FCA5FD8}</c15:txfldGUID>
                      <c15:f>'ID4'!$N$37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82D-4C63-BB45-F620C352869A}"/>
                </c:ext>
              </c:extLst>
            </c:dLbl>
            <c:dLbl>
              <c:idx val="24"/>
              <c:tx>
                <c:strRef>
                  <c:f>'ID4'!$N$38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{6E2F90CD-B3CB-4183-B93A-8C773749C05A}</c15:txfldGUID>
                      <c15:f>'ID4'!$N$38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82D-4C63-BB45-F620C352869A}"/>
                </c:ext>
              </c:extLst>
            </c:dLbl>
            <c:dLbl>
              <c:idx val="25"/>
              <c:tx>
                <c:strRef>
                  <c:f>'ID4'!$N$39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{DC31F9C5-2285-466D-B28A-167D3996A8B3}</c15:txfldGUID>
                      <c15:f>'ID4'!$N$39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82D-4C63-BB45-F620C352869A}"/>
                </c:ext>
              </c:extLst>
            </c:dLbl>
            <c:dLbl>
              <c:idx val="26"/>
              <c:tx>
                <c:strRef>
                  <c:f>'ID4'!$N$40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{AC449C6C-BEA7-49C5-8C58-FF6798B806A3}</c15:txfldGUID>
                      <c15:f>'ID4'!$N$40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82D-4C63-BB45-F620C352869A}"/>
                </c:ext>
              </c:extLst>
            </c:dLbl>
            <c:dLbl>
              <c:idx val="27"/>
              <c:tx>
                <c:strRef>
                  <c:f>'ID4'!$N$41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{AB0ED0B5-9970-403E-B546-869B5266AB4A}</c15:txfldGUID>
                      <c15:f>'ID4'!$N$41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82D-4C63-BB45-F620C35286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'ID4'!$O$14:$O$40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82D-4C63-BB45-F620C352869A}"/>
            </c:ext>
          </c:extLst>
        </c:ser>
        <c:ser>
          <c:idx val="7"/>
          <c:order val="7"/>
          <c:tx>
            <c:strRef>
              <c:f>'ID4'!$J$48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'ID4'!$K$48:$K$49</c:f>
              <c:numCache>
                <c:formatCode>0.0</c:formatCode>
                <c:ptCount val="2"/>
                <c:pt idx="0">
                  <c:v>27.73</c:v>
                </c:pt>
                <c:pt idx="1">
                  <c:v>82.7</c:v>
                </c:pt>
              </c:numCache>
            </c:numRef>
          </c:xVal>
          <c:yVal>
            <c:numRef>
              <c:f>'ID4'!$L$48:$L$49</c:f>
              <c:numCache>
                <c:formatCode>0.000</c:formatCode>
                <c:ptCount val="2"/>
                <c:pt idx="0" formatCode="General">
                  <c:v>1.3292592592592594</c:v>
                </c:pt>
                <c:pt idx="1">
                  <c:v>1.3292592592592594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82D-4C63-BB45-F620C352869A}"/>
            </c:ext>
          </c:extLst>
        </c:ser>
        <c:ser>
          <c:idx val="8"/>
          <c:order val="8"/>
          <c:tx>
            <c:strRef>
              <c:f>'ID4'!$J$51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'ID4'!$K$51:$K$52</c:f>
              <c:numCache>
                <c:formatCode>0.000</c:formatCode>
                <c:ptCount val="2"/>
                <c:pt idx="0">
                  <c:v>57.626296296296296</c:v>
                </c:pt>
                <c:pt idx="1">
                  <c:v>57.626296296296296</c:v>
                </c:pt>
              </c:numCache>
            </c:numRef>
          </c:xVal>
          <c:yVal>
            <c:numRef>
              <c:f>'ID4'!$L$51:$L$52</c:f>
              <c:numCache>
                <c:formatCode>0.0</c:formatCode>
                <c:ptCount val="2"/>
                <c:pt idx="0">
                  <c:v>-5.46</c:v>
                </c:pt>
                <c:pt idx="1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82D-4C63-BB45-F620C352869A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'ID4'!$K$14:$K$40</c:f>
              <c:numCache>
                <c:formatCode>General</c:formatCode>
                <c:ptCount val="27"/>
                <c:pt idx="0">
                  <c:v>64.680000000000007</c:v>
                </c:pt>
                <c:pt idx="1">
                  <c:v>59.39</c:v>
                </c:pt>
                <c:pt idx="2">
                  <c:v>35.520000000000003</c:v>
                </c:pt>
                <c:pt idx="3">
                  <c:v>49.46</c:v>
                </c:pt>
                <c:pt idx="4">
                  <c:v>69.11</c:v>
                </c:pt>
                <c:pt idx="5">
                  <c:v>52.22</c:v>
                </c:pt>
                <c:pt idx="6">
                  <c:v>69.62</c:v>
                </c:pt>
                <c:pt idx="7">
                  <c:v>62.61</c:v>
                </c:pt>
                <c:pt idx="8">
                  <c:v>52.4</c:v>
                </c:pt>
                <c:pt idx="9">
                  <c:v>66.180000000000007</c:v>
                </c:pt>
                <c:pt idx="10">
                  <c:v>81.99</c:v>
                </c:pt>
                <c:pt idx="11">
                  <c:v>59.67</c:v>
                </c:pt>
                <c:pt idx="12">
                  <c:v>58.95</c:v>
                </c:pt>
                <c:pt idx="13">
                  <c:v>58.89</c:v>
                </c:pt>
                <c:pt idx="14">
                  <c:v>72.91</c:v>
                </c:pt>
                <c:pt idx="15">
                  <c:v>45.75</c:v>
                </c:pt>
                <c:pt idx="16">
                  <c:v>52.91</c:v>
                </c:pt>
                <c:pt idx="17">
                  <c:v>60.14</c:v>
                </c:pt>
                <c:pt idx="18">
                  <c:v>45.34</c:v>
                </c:pt>
                <c:pt idx="19">
                  <c:v>63.02</c:v>
                </c:pt>
                <c:pt idx="20">
                  <c:v>82.7</c:v>
                </c:pt>
                <c:pt idx="21">
                  <c:v>44.3</c:v>
                </c:pt>
                <c:pt idx="22">
                  <c:v>55.97</c:v>
                </c:pt>
                <c:pt idx="23">
                  <c:v>27.73</c:v>
                </c:pt>
                <c:pt idx="24">
                  <c:v>66.44</c:v>
                </c:pt>
                <c:pt idx="25">
                  <c:v>46.7</c:v>
                </c:pt>
                <c:pt idx="26">
                  <c:v>51.31</c:v>
                </c:pt>
              </c:numCache>
            </c:numRef>
          </c:xVal>
          <c:yVal>
            <c:numRef>
              <c:f>'ID4'!$L$14:$L$40</c:f>
              <c:numCache>
                <c:formatCode>General</c:formatCode>
                <c:ptCount val="27"/>
                <c:pt idx="0">
                  <c:v>1.35</c:v>
                </c:pt>
                <c:pt idx="1">
                  <c:v>5.16</c:v>
                </c:pt>
                <c:pt idx="2">
                  <c:v>4.34</c:v>
                </c:pt>
                <c:pt idx="3">
                  <c:v>-0.75</c:v>
                </c:pt>
                <c:pt idx="4">
                  <c:v>9.42</c:v>
                </c:pt>
                <c:pt idx="5">
                  <c:v>3.3</c:v>
                </c:pt>
                <c:pt idx="6">
                  <c:v>0.97</c:v>
                </c:pt>
                <c:pt idx="7">
                  <c:v>6.24</c:v>
                </c:pt>
                <c:pt idx="8">
                  <c:v>-0.08</c:v>
                </c:pt>
                <c:pt idx="9">
                  <c:v>2.02</c:v>
                </c:pt>
                <c:pt idx="10">
                  <c:v>2.81</c:v>
                </c:pt>
                <c:pt idx="11">
                  <c:v>-2.29</c:v>
                </c:pt>
                <c:pt idx="12">
                  <c:v>-4.42</c:v>
                </c:pt>
                <c:pt idx="13">
                  <c:v>9.8000000000000007</c:v>
                </c:pt>
                <c:pt idx="14">
                  <c:v>2.42</c:v>
                </c:pt>
                <c:pt idx="15">
                  <c:v>0.15</c:v>
                </c:pt>
                <c:pt idx="16">
                  <c:v>4.07</c:v>
                </c:pt>
                <c:pt idx="17">
                  <c:v>-3.65</c:v>
                </c:pt>
                <c:pt idx="18">
                  <c:v>-5.46</c:v>
                </c:pt>
                <c:pt idx="19">
                  <c:v>1.79</c:v>
                </c:pt>
                <c:pt idx="20">
                  <c:v>3.76</c:v>
                </c:pt>
                <c:pt idx="21">
                  <c:v>1.37</c:v>
                </c:pt>
                <c:pt idx="22">
                  <c:v>0.66</c:v>
                </c:pt>
                <c:pt idx="23">
                  <c:v>-0.09</c:v>
                </c:pt>
                <c:pt idx="24">
                  <c:v>-0.16</c:v>
                </c:pt>
                <c:pt idx="25">
                  <c:v>-2.97</c:v>
                </c:pt>
                <c:pt idx="26">
                  <c:v>-3.87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82D-4C63-BB45-F620C3528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'ID4'!$K$5</c:f>
              <c:strCache>
                <c:ptCount val="1"/>
                <c:pt idx="0">
                  <c:v>Share of individuals who have basic or above basic overall digital skills (% of population aged 16-74)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'ID4'!$K$9</c:f>
              <c:strCache>
                <c:ptCount val="1"/>
                <c:pt idx="0">
                  <c:v>Share of individuals who have basic or above basic overall digital skills (% of population aged 16-74)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'ID7'!$P$13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{CA7671AD-4F2C-4946-BA38-0BC885416444}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{08AFEF76-2212-492F-BB95-35E8D2C21E70}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{198A4700-4E2F-4957-B76A-9862BB58816D}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{0F53E373-1B10-4571-B09F-38962CA080BC}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{27296A56-1D84-4ED3-BFDA-263E324F09DC}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{DE9376C8-6204-47D2-BCA0-539260189793}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{F8A88B86-1CFE-43B9-8FF2-A0FE7EFB816D}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{3BEFD562-AAFF-422C-B80C-616B062388EE}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{239C95FE-7D64-4BCE-91A1-87F080A5D35C}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{89E8957C-8DCB-4D0B-A418-E5C7ABA25E33}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{5F10D560-8284-4BE3-B93F-C7B659FB007E}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{BD4CE4C4-B860-4DFD-AA4F-8327C6F654ED}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{63055FA7-7CB1-40C6-A771-91D0211596E0}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{611243A9-EB74-44D0-96EF-88CF20790B21}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{272517E6-56D0-4705-BD36-2977D791414C}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{67D35C13-DC19-44E6-BC33-0BD042D4808D}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{19D961AF-C46A-4A99-8D25-A1FFB1643913}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{DC2A4999-4D73-4744-9B79-8098ECD8DFAA}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{F3CFBAE9-DFBD-4A13-83AB-637986965412}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{ABAD0572-C0C3-4630-BC34-AE32A1E9EF6D}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{C7C351F9-127B-436E-9C56-E524D0F6EF51}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{CAA1FD28-3E36-4A7E-9ADF-18BEA1F81FE8}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{7169B0E6-0AAA-4F1A-9585-B7229A1F8230}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{FE0C1DBF-7639-465E-BFB4-E1A2726F622B}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{1D61954D-65F8-4F8F-A06F-690D212FC177}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{46C6D201-DA55-42B7-991A-E97C7D9C638C}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{20CDBB51-BAD5-43C4-96F4-42897D8D0D37}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{34B92729-F12D-4389-B78A-2B3A8E1EA75A}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013-4445-A54E-C978EE68FEDF}"/>
            </c:ext>
          </c:extLst>
        </c:ser>
        <c:ser>
          <c:idx val="2"/>
          <c:order val="1"/>
          <c:tx>
            <c:strRef>
              <c:f>'ID7'!$Q$13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{3ADC0CD4-DFDE-4B0D-BECD-346D5D875C02}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{9B58B3C5-28DE-4515-9F20-2920459265DF}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{887394BF-0D1E-4338-87CD-4768D3497A0A}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{DD0F1181-E61B-4C67-BEDF-9665606FD097}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{008500A5-C399-4ECC-A515-7836244B33D7}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{F5E5853A-BEB3-426E-9691-C06904A3B1F9}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{24B7BF83-161F-497E-A322-7CDB1B29CCA6}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{A6CBC18D-5547-4204-9692-2886BB3C4344}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{47293839-9339-4D08-9A64-0C3CF085A173}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{6A055FE3-D6A2-48BE-ADB1-FA745B1555FD}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{D4961CF9-E66E-4508-8B32-C8430DA8E87B}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{B92EBDD4-AC79-4309-B13C-8F6118A613DB}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{B3E20395-F559-4E5B-9095-51F6ADEA2A5A}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{91672C2B-8E75-4B82-B583-44969556BA90}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{9DABCA10-DBC2-429C-8C2E-1E6F561A6763}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{48202A6A-478E-49EA-9C09-8CD5E2330188}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{26A7BAD5-189C-45C0-A35E-C076FFDCF5EE}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{88C870E0-F508-4FDE-820E-FF7337D06231}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{B4DA3464-8C9E-4E6A-9790-1FCDE0D4A47E}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{ABFD47E1-3177-4B0B-9524-47F1C26225AD}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{31A73D10-4018-458D-A17D-B90B7A89F385}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{90CF9146-0F69-4741-B09A-6C196311F109}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{A76AF63E-8BEA-4E5A-9444-E21C6FE4E67D}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{ECFFF5E2-1B9E-40D9-B8C0-71392EF4004B}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{775F8339-4FAA-430F-A803-FB75D2362A38}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{6FFB8122-497C-40F4-9A14-E705DFBEE63A}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{16261BBE-A0C3-4DC2-A0F1-E7FCF898CD2C}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{F9AFBD38-01EB-45C7-A5AA-FA874858EBCC}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013-4445-A54E-C978EE68FEDF}"/>
            </c:ext>
          </c:extLst>
        </c:ser>
        <c:ser>
          <c:idx val="3"/>
          <c:order val="2"/>
          <c:tx>
            <c:strRef>
              <c:f>'ID7'!$R$13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{182CAA35-4EF0-4D7F-85A7-B593DD69C9F7}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{2DE3F815-3F5A-49CA-AEEE-8062D654586C}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{46B768D0-D6ED-4C36-BDFD-E665DA0E7FFF}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{B3128CC9-46A7-4B1D-8B0B-F70E3E06043C}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{9EB7EB06-87D9-4E7C-9525-9F4EF8AE594F}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{1BDCA6F1-6B6D-4BFD-8196-7C103251B52A}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{B4162259-AE32-49C9-A454-0ACC4B1778D4}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{6B932CAB-C941-4743-8A91-4409E0C99C37}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{60C69C3A-DF6A-432C-9951-EEA93172CF01}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{BC84654D-9C3E-4E72-AAE6-1F465176AD85}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{9D348599-F0C2-43F9-9FCB-DA8CA86EF09F}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{D6680023-C7B6-4692-BEED-7387E9195114}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{6495071A-0CA7-404F-A15B-440DFFA6D678}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{10B1036F-5E80-4C8F-B036-99A57EA2F8E5}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{BA586CEA-68DE-4B18-919F-39B386C69FA8}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{BFAB0AD4-5060-4A4A-AE05-A6106EB66B8F}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{A5E71302-CA93-40EB-A2CD-984D3472038F}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{71F8808F-AD9D-4108-AE80-1226137C7ED7}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{4E5E32A3-71EB-4171-88AF-D7FDE056159C}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{DA67F083-2AFE-45C7-9925-E7A3CC34C292}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{22E140C6-2EDE-47BE-83B3-DBC8EDB81875}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{BD9D1975-5713-4687-BB95-70606E29A943}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{C8BDD9A4-B7BC-4527-BE06-49CD4F27B1B3}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{31219359-0383-4AEE-98C1-30D8F7E5EAD3}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{E311588C-B748-47A0-BA4B-0EC251B5C400}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{AD94F9DF-C07C-4D12-814F-E0058CA0DD39}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{D24B0052-3BED-46B9-9CBC-33CEE97B14F7}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{07E54148-95B6-40DE-AB6F-E44395148986}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0.7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#N/A</c:v>
                </c:pt>
                <c:pt idx="21">
                  <c:v>-1.6</c:v>
                </c:pt>
                <c:pt idx="22">
                  <c:v>0.4</c:v>
                </c:pt>
                <c:pt idx="23">
                  <c:v>#N/A</c:v>
                </c:pt>
                <c:pt idx="24">
                  <c:v>#N/A</c:v>
                </c:pt>
                <c:pt idx="25">
                  <c:v>-0.6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013-4445-A54E-C978EE68FEDF}"/>
            </c:ext>
          </c:extLst>
        </c:ser>
        <c:ser>
          <c:idx val="4"/>
          <c:order val="3"/>
          <c:tx>
            <c:strRef>
              <c:f>'ID7'!$S$13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{68C09AE9-0DB2-4206-B60E-C5A7D2D0BF5E}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{5EADF121-1199-463A-9AE7-FFBC7966DC49}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{988738FB-AF92-407F-9743-ADC5241F2C7F}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{3737F566-E838-4B20-9121-6CA4D3E95C20}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{01235756-F10F-4403-AC4B-7BC7CF54A37B}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{E3456D54-78DF-4A5C-B95D-762823C83FBA}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{7F3B1569-6E28-401F-90C5-385E68E3A1AB}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{310FB3CC-5E8D-403D-A134-2B5EB58110FC}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{C446FECB-947F-450B-AE5B-4BD97F8B6FD8}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{C3652801-913C-4565-BFD2-E3C08FBF857E}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{F5CD409E-984A-4E21-9EEB-85126388B9FA}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{29F360C4-BB56-4ACE-92E9-805A0EB30708}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{D7747CE1-5876-44E4-A601-EAC456C624DA}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{03D64D3F-FCD4-469D-9A6F-B4826A896028}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{CB1B3FAC-840E-4FAC-AE88-A9F0CE4EAEED}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{3F370DCB-5082-41DD-A9A2-084BF762AE4A}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{1CF6FFE7-69C1-45B5-9669-4B28D066F4BC}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{E3334CC2-DF6D-40B9-B24A-0C54307BDE17}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{6E29F7EF-A109-4CBA-AD69-100131D853BE}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{3C5B1201-A2E7-44AF-89CC-1126BAFE9313}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{E07431CF-2861-44F5-845A-C18171DAF2D1}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{218D6253-63A4-48AF-9C06-801BEEADF623}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{90A46870-F94A-4D9A-8948-619D300BA91A}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{7173AE38-52C0-4E15-9D72-43507D8E0967}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{EB96ED45-7B38-4CE3-B5B3-DABBC342F176}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{7DD97BC6-5918-4220-9960-7879740765F8}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{78992B6A-ED00-4FC1-8581-EA3D0B1D56B2}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{E72F444C-6CDA-4B2B-AA8F-466327542369}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-0.4</c:v>
                </c:pt>
                <c:pt idx="10">
                  <c:v>#N/A</c:v>
                </c:pt>
                <c:pt idx="11">
                  <c:v>0.3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2.8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013-4445-A54E-C978EE68FEDF}"/>
            </c:ext>
          </c:extLst>
        </c:ser>
        <c:ser>
          <c:idx val="5"/>
          <c:order val="4"/>
          <c:tx>
            <c:strRef>
              <c:f>'ID7'!$T$13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{BEDFDDDD-C4A5-407E-A4B7-143FAAA92C26}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{424BD717-4C18-4F0D-BBDB-14C7CD3306B2}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{A235A957-E123-4D3F-9F9D-E40738A0CB1C}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{EF075228-58A1-4D5A-B17F-AA9E2D1A67E6}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{10AED2B8-3882-4FD1-BC2F-77166DE5078E}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{F8593688-20F7-485B-9328-B0FDE11F61F0}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{FD890AEC-E303-49C1-8A73-E5DD5F97EE2A}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{F4E55DED-A9E4-423E-B7A5-27F777FB06F2}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{D0DD9713-5DD4-466B-862A-F97F94C63A4B}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{2EBFCF95-7FA2-4288-8D13-1D16B56A9C11}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{CD627730-ABA7-45BB-9011-08F6978A5274}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{89A284E1-276F-44DF-B577-044B33332B78}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{825B7FA0-1E8E-4EE8-8B67-1BF7A2CA2D9A}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{F227A15F-DEAD-41BA-871B-D3CC507D4DBF}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{1DEEAA48-F8F1-496A-BF87-42C5AF99CAF7}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{C69BDB89-AF81-40E7-93E1-6E5810089621}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{47FC82B4-803A-4636-B6C6-0D922198F60E}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{4EAF4AFB-8E75-4DAB-ADA4-88CC4414FC2C}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{C9A876DD-7A36-4CA0-A3A9-A8836F7474A4}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{6F845913-419C-4357-A5BA-9CF78B2AB325}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{11BCD6D3-808C-4E65-A013-22D1DEEDB6E4}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{9EC00358-BCF3-4889-A70D-9060062A06B0}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{12F2C602-D01E-45E4-AECE-A3C018174077}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{6B1C5279-62C8-48CC-9575-A8888BEFCF6B}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{AF43B6AB-7FF4-4B79-ACB1-5B5E1F24EE92}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{F9551100-ABD7-4620-813E-444140E2BC8A}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{168368C7-2AD0-491C-A52C-DFFE495C6C09}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{55E5AEA7-E81A-4070-A4AD-D82A3606E542}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-0.5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013-4445-A54E-C978EE68FEDF}"/>
            </c:ext>
          </c:extLst>
        </c:ser>
        <c:ser>
          <c:idx val="0"/>
          <c:order val="5"/>
          <c:tx>
            <c:strRef>
              <c:f>'ID7'!$U$13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{74B15868-6A9E-4462-A80D-CA94575499B6}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{9FE71A3D-EF2D-42CA-A5DF-220BCA530806}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{58EA1D2E-C73B-465C-B1DA-D7F0BA80211F}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{96E865E6-0ACA-4AF6-99E3-E5E66F6879D2}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{E68A2808-68E4-40D9-9E58-1FF6364CD303}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{3FF43856-63F6-4E44-98C5-C91CDB718EE6}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{E1CDA046-4B14-4425-81FE-76DD9873D8C5}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{1CF751B3-9AAF-49AA-80B4-F62BF050C13E}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{07036C0A-BBC8-40D9-9FB6-1F8E24C3ECCB}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{51F546BB-A073-4EC9-840D-6B89658FCFAB}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{51A0E6C2-42C4-4BE4-97A8-C7F00BF3031D}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{B755CE4F-F6D7-4B3E-AF28-CD09868C7300}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{03C2314C-199E-436F-801B-2C5F6677BBA2}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{CC2B6AC9-3F02-4483-978D-7D4CF872E5DF}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{4C1DFECA-2FF6-4949-98E6-C44CA082AE89}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{DC3B0FDD-0788-4FB2-90DA-D2A36A23686A}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{A00806A5-B654-4BF3-B4FB-42A8B305B279}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{D92A743E-3F21-41F1-A065-53E5F5B16830}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{69410D73-E89D-4BD5-ACE3-C092CB72FAAC}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{F65D6928-8A92-4332-A773-EECD0AB76109}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{4484D4D5-542E-4698-AD2D-B1674859EA0C}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{2E395CC7-3409-4F9A-92D3-835FA7D8E67F}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{DA87BF27-CAA7-4379-A428-1076276EFF3C}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{9F958B92-1525-4F2C-A51E-B25C48E05E09}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{A602FF08-4033-4DAA-AE06-A4E725B30C58}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{7041D72D-E050-4FD0-A2BC-28EFBC0210BB}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{167F8851-6627-43D0-90C7-6585A21ACFF0}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{EA2AC499-B650-49A2-9FB5-079D886091F5}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'ID7'!$U$14:$U$40</c:f>
              <c:numCache>
                <c:formatCode>General</c:formatCode>
                <c:ptCount val="27"/>
                <c:pt idx="0">
                  <c:v>0.3</c:v>
                </c:pt>
                <c:pt idx="1">
                  <c:v>0.4</c:v>
                </c:pt>
                <c:pt idx="2">
                  <c:v>#N/A</c:v>
                </c:pt>
                <c:pt idx="3">
                  <c:v>#N/A</c:v>
                </c:pt>
                <c:pt idx="4">
                  <c:v>-1.3</c:v>
                </c:pt>
                <c:pt idx="5">
                  <c:v>#N/A</c:v>
                </c:pt>
                <c:pt idx="6">
                  <c:v>#N/A</c:v>
                </c:pt>
                <c:pt idx="7">
                  <c:v>-1</c:v>
                </c:pt>
                <c:pt idx="8">
                  <c:v>#N/A</c:v>
                </c:pt>
                <c:pt idx="9">
                  <c:v>#N/A</c:v>
                </c:pt>
                <c:pt idx="10">
                  <c:v>-0.1</c:v>
                </c:pt>
                <c:pt idx="11">
                  <c:v>#N/A</c:v>
                </c:pt>
                <c:pt idx="12">
                  <c:v>-1.3</c:v>
                </c:pt>
                <c:pt idx="13">
                  <c:v>0.1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-1.3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013-4445-A54E-C978EE68FEDF}"/>
            </c:ext>
          </c:extLst>
        </c:ser>
        <c:ser>
          <c:idx val="6"/>
          <c:order val="6"/>
          <c:tx>
            <c:strRef>
              <c:f>'ID7'!$V$13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{73311399-AD2C-4E7B-B65A-8C0770DEA2E8}</c15:txfldGUID>
                      <c15:f>'ID7'!$N$14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013-4445-A54E-C978EE68FEDF}"/>
                </c:ext>
              </c:extLst>
            </c:dLbl>
            <c:dLbl>
              <c:idx val="1"/>
              <c:tx>
                <c:strRef>
                  <c:f>'ID7'!$N$15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{36ED9E57-7925-4D8F-BC8A-0E6ED64421E9}</c15:txfldGUID>
                      <c15:f>'ID7'!$N$15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013-4445-A54E-C978EE68FEDF}"/>
                </c:ext>
              </c:extLst>
            </c:dLbl>
            <c:dLbl>
              <c:idx val="2"/>
              <c:tx>
                <c:strRef>
                  <c:f>'ID7'!$N$16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{480ABC60-9C8A-418B-AE4E-7F6EE28BD460}</c15:txfldGUID>
                      <c15:f>'ID7'!$N$16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013-4445-A54E-C978EE68FEDF}"/>
                </c:ext>
              </c:extLst>
            </c:dLbl>
            <c:dLbl>
              <c:idx val="3"/>
              <c:tx>
                <c:strRef>
                  <c:f>'ID7'!$N$17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{6ED8FA1E-B8D4-48CD-AA19-E619568A8D7C}</c15:txfldGUID>
                      <c15:f>'ID7'!$N$17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013-4445-A54E-C978EE68FEDF}"/>
                </c:ext>
              </c:extLst>
            </c:dLbl>
            <c:dLbl>
              <c:idx val="4"/>
              <c:tx>
                <c:strRef>
                  <c:f>'ID7'!$N$18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{8285704B-5C14-4196-998E-E5F2529A6EE4}</c15:txfldGUID>
                      <c15:f>'ID7'!$N$18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013-4445-A54E-C978EE68FEDF}"/>
                </c:ext>
              </c:extLst>
            </c:dLbl>
            <c:dLbl>
              <c:idx val="5"/>
              <c:tx>
                <c:strRef>
                  <c:f>'ID7'!$N$19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{5423F047-BB69-4392-807B-881DDD92DEA1}</c15:txfldGUID>
                      <c15:f>'ID7'!$N$19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013-4445-A54E-C978EE68FEDF}"/>
                </c:ext>
              </c:extLst>
            </c:dLbl>
            <c:dLbl>
              <c:idx val="6"/>
              <c:tx>
                <c:strRef>
                  <c:f>'ID7'!$N$20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{EF4F5B2C-E077-42B9-AD2B-C0B7CA5D782B}</c15:txfldGUID>
                      <c15:f>'ID7'!$N$20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013-4445-A54E-C978EE68FEDF}"/>
                </c:ext>
              </c:extLst>
            </c:dLbl>
            <c:dLbl>
              <c:idx val="7"/>
              <c:tx>
                <c:strRef>
                  <c:f>'ID7'!$N$21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{0EA41189-4FFB-40AA-A421-E51411307568}</c15:txfldGUID>
                      <c15:f>'ID7'!$N$21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013-4445-A54E-C978EE68FEDF}"/>
                </c:ext>
              </c:extLst>
            </c:dLbl>
            <c:dLbl>
              <c:idx val="8"/>
              <c:tx>
                <c:strRef>
                  <c:f>'ID7'!$N$22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{A2748C74-AEBA-4B70-A365-988AD91E5E8D}</c15:txfldGUID>
                      <c15:f>'ID7'!$N$22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013-4445-A54E-C978EE68FEDF}"/>
                </c:ext>
              </c:extLst>
            </c:dLbl>
            <c:dLbl>
              <c:idx val="9"/>
              <c:tx>
                <c:strRef>
                  <c:f>'ID7'!$N$23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{8127C791-A4A9-4C70-9241-1525C1D1AB7A}</c15:txfldGUID>
                      <c15:f>'ID7'!$N$23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013-4445-A54E-C978EE68FEDF}"/>
                </c:ext>
              </c:extLst>
            </c:dLbl>
            <c:dLbl>
              <c:idx val="10"/>
              <c:tx>
                <c:strRef>
                  <c:f>'ID7'!$N$24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{1D7E426C-14B3-488E-A97B-19528EFB2FD3}</c15:txfldGUID>
                      <c15:f>'ID7'!$N$24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013-4445-A54E-C978EE68FEDF}"/>
                </c:ext>
              </c:extLst>
            </c:dLbl>
            <c:dLbl>
              <c:idx val="11"/>
              <c:tx>
                <c:strRef>
                  <c:f>'ID7'!$N$25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{F6ADAC0E-AC4A-444A-9C69-F51A7B1CCE2A}</c15:txfldGUID>
                      <c15:f>'ID7'!$N$25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013-4445-A54E-C978EE68FEDF}"/>
                </c:ext>
              </c:extLst>
            </c:dLbl>
            <c:dLbl>
              <c:idx val="12"/>
              <c:tx>
                <c:strRef>
                  <c:f>'ID7'!$N$26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{0F6EE44E-2DE1-4797-90F0-F0EA298D3609}</c15:txfldGUID>
                      <c15:f>'ID7'!$N$26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013-4445-A54E-C978EE68FEDF}"/>
                </c:ext>
              </c:extLst>
            </c:dLbl>
            <c:dLbl>
              <c:idx val="13"/>
              <c:tx>
                <c:strRef>
                  <c:f>'ID7'!$N$27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{1C582A05-2CE6-4A54-90FB-26FFE25307E7}</c15:txfldGUID>
                      <c15:f>'ID7'!$N$27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013-4445-A54E-C978EE68FEDF}"/>
                </c:ext>
              </c:extLst>
            </c:dLbl>
            <c:dLbl>
              <c:idx val="14"/>
              <c:tx>
                <c:strRef>
                  <c:f>'ID7'!$N$28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{53B7C8C5-4A75-46AA-A927-2AC415C29F37}</c15:txfldGUID>
                      <c15:f>'ID7'!$N$28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013-4445-A54E-C978EE68FEDF}"/>
                </c:ext>
              </c:extLst>
            </c:dLbl>
            <c:dLbl>
              <c:idx val="15"/>
              <c:tx>
                <c:strRef>
                  <c:f>'ID7'!$N$29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{939C3FA4-9744-484C-ACDB-D48877EF706C}</c15:txfldGUID>
                      <c15:f>'ID7'!$N$29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013-4445-A54E-C978EE68FEDF}"/>
                </c:ext>
              </c:extLst>
            </c:dLbl>
            <c:dLbl>
              <c:idx val="16"/>
              <c:tx>
                <c:strRef>
                  <c:f>'ID7'!$N$30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{C5551C2E-ED92-40E9-9D0E-D66EDF896BDE}</c15:txfldGUID>
                      <c15:f>'ID7'!$N$30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013-4445-A54E-C978EE68FEDF}"/>
                </c:ext>
              </c:extLst>
            </c:dLbl>
            <c:dLbl>
              <c:idx val="17"/>
              <c:tx>
                <c:strRef>
                  <c:f>'ID7'!$N$31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{DE15DE28-20B1-418A-8C98-762C4D157841}</c15:txfldGUID>
                      <c15:f>'ID7'!$N$31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013-4445-A54E-C978EE68FEDF}"/>
                </c:ext>
              </c:extLst>
            </c:dLbl>
            <c:dLbl>
              <c:idx val="18"/>
              <c:tx>
                <c:strRef>
                  <c:f>'ID7'!$N$32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{EC9143F0-3703-4398-B3C3-CE737353A047}</c15:txfldGUID>
                      <c15:f>'ID7'!$N$32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013-4445-A54E-C978EE68FEDF}"/>
                </c:ext>
              </c:extLst>
            </c:dLbl>
            <c:dLbl>
              <c:idx val="19"/>
              <c:tx>
                <c:strRef>
                  <c:f>'ID7'!$N$33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{A5C91AF9-6790-4941-867E-AE6D14B46BD8}</c15:txfldGUID>
                      <c15:f>'ID7'!$N$33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013-4445-A54E-C978EE68FEDF}"/>
                </c:ext>
              </c:extLst>
            </c:dLbl>
            <c:dLbl>
              <c:idx val="20"/>
              <c:tx>
                <c:strRef>
                  <c:f>'ID7'!$N$34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{B6497C1D-8FBF-4BBE-9E8F-FCF8E601D4C7}</c15:txfldGUID>
                      <c15:f>'ID7'!$N$34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013-4445-A54E-C978EE68FEDF}"/>
                </c:ext>
              </c:extLst>
            </c:dLbl>
            <c:dLbl>
              <c:idx val="21"/>
              <c:tx>
                <c:strRef>
                  <c:f>'ID7'!$N$35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{EDFD1ACD-F7B5-4231-B271-406520692B4C}</c15:txfldGUID>
                      <c15:f>'ID7'!$N$35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013-4445-A54E-C978EE68FEDF}"/>
                </c:ext>
              </c:extLst>
            </c:dLbl>
            <c:dLbl>
              <c:idx val="22"/>
              <c:tx>
                <c:strRef>
                  <c:f>'ID7'!$N$36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{D9F91867-9CBF-4544-A992-D2C6656AD808}</c15:txfldGUID>
                      <c15:f>'ID7'!$N$36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013-4445-A54E-C978EE68FEDF}"/>
                </c:ext>
              </c:extLst>
            </c:dLbl>
            <c:dLbl>
              <c:idx val="23"/>
              <c:tx>
                <c:strRef>
                  <c:f>'ID7'!$N$37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{DC468555-5228-40AA-AE66-F575639AD52C}</c15:txfldGUID>
                      <c15:f>'ID7'!$N$37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013-4445-A54E-C978EE68FEDF}"/>
                </c:ext>
              </c:extLst>
            </c:dLbl>
            <c:dLbl>
              <c:idx val="24"/>
              <c:tx>
                <c:strRef>
                  <c:f>'ID7'!$N$38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{BD0B13EE-B5A0-4FFA-853E-6B7B947CF844}</c15:txfldGUID>
                      <c15:f>'ID7'!$N$38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013-4445-A54E-C978EE68FEDF}"/>
                </c:ext>
              </c:extLst>
            </c:dLbl>
            <c:dLbl>
              <c:idx val="25"/>
              <c:tx>
                <c:strRef>
                  <c:f>'ID7'!$N$39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{F5AE346C-5CDD-4859-9122-C19FC6DB7EB6}</c15:txfldGUID>
                      <c15:f>'ID7'!$N$39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013-4445-A54E-C978EE68FEDF}"/>
                </c:ext>
              </c:extLst>
            </c:dLbl>
            <c:dLbl>
              <c:idx val="26"/>
              <c:tx>
                <c:strRef>
                  <c:f>'ID7'!$N$40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{9F03D218-EF40-4DB6-90F5-7C5084C7FF3B}</c15:txfldGUID>
                      <c15:f>'ID7'!$N$40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013-4445-A54E-C978EE68FEDF}"/>
                </c:ext>
              </c:extLst>
            </c:dLbl>
            <c:dLbl>
              <c:idx val="27"/>
              <c:tx>
                <c:strRef>
                  <c:f>'ID7'!$N$41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{50A3DE4F-02D5-4587-BA73-F9157B61B2B1}</c15:txfldGUID>
                      <c15:f>'ID7'!$N$41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013-4445-A54E-C978EE68FE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'ID7'!$O$14:$O$40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-2.9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013-4445-A54E-C978EE68FEDF}"/>
            </c:ext>
          </c:extLst>
        </c:ser>
        <c:ser>
          <c:idx val="7"/>
          <c:order val="7"/>
          <c:tx>
            <c:strRef>
              <c:f>'ID7'!$J$48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'ID7'!$K$48:$K$49</c:f>
              <c:numCache>
                <c:formatCode>0.0</c:formatCode>
                <c:ptCount val="2"/>
                <c:pt idx="0">
                  <c:v>4.7</c:v>
                </c:pt>
                <c:pt idx="1">
                  <c:v>19.3</c:v>
                </c:pt>
              </c:numCache>
            </c:numRef>
          </c:xVal>
          <c:yVal>
            <c:numRef>
              <c:f>'ID7'!$L$48:$L$49</c:f>
              <c:numCache>
                <c:formatCode>0.000</c:formatCode>
                <c:ptCount val="2"/>
                <c:pt idx="0" formatCode="General">
                  <c:v>-0.22592592592592592</c:v>
                </c:pt>
                <c:pt idx="1">
                  <c:v>-0.22592592592592592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013-4445-A54E-C978EE68FEDF}"/>
            </c:ext>
          </c:extLst>
        </c:ser>
        <c:ser>
          <c:idx val="8"/>
          <c:order val="8"/>
          <c:tx>
            <c:strRef>
              <c:f>'ID7'!$J$51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'ID7'!$K$51:$K$52</c:f>
              <c:numCache>
                <c:formatCode>0.000</c:formatCode>
                <c:ptCount val="2"/>
                <c:pt idx="0">
                  <c:v>10.633333333333333</c:v>
                </c:pt>
                <c:pt idx="1">
                  <c:v>10.633333333333333</c:v>
                </c:pt>
              </c:numCache>
            </c:numRef>
          </c:xVal>
          <c:yVal>
            <c:numRef>
              <c:f>'ID7'!$L$51:$L$52</c:f>
              <c:numCache>
                <c:formatCode>0.0</c:formatCode>
                <c:ptCount val="2"/>
                <c:pt idx="0">
                  <c:v>-2.9</c:v>
                </c:pt>
                <c:pt idx="1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013-4445-A54E-C978EE68FEDF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'ID7'!$K$14:$K$40</c:f>
              <c:numCache>
                <c:formatCode>General</c:formatCode>
                <c:ptCount val="27"/>
                <c:pt idx="0">
                  <c:v>9.4</c:v>
                </c:pt>
                <c:pt idx="1">
                  <c:v>9.6</c:v>
                </c:pt>
                <c:pt idx="2">
                  <c:v>13.8</c:v>
                </c:pt>
                <c:pt idx="3">
                  <c:v>13.9</c:v>
                </c:pt>
                <c:pt idx="4">
                  <c:v>10.1</c:v>
                </c:pt>
                <c:pt idx="5">
                  <c:v>8.8000000000000007</c:v>
                </c:pt>
                <c:pt idx="6">
                  <c:v>8.6</c:v>
                </c:pt>
                <c:pt idx="7">
                  <c:v>9.6</c:v>
                </c:pt>
                <c:pt idx="8">
                  <c:v>15.9</c:v>
                </c:pt>
                <c:pt idx="9">
                  <c:v>12.3</c:v>
                </c:pt>
                <c:pt idx="10">
                  <c:v>9.1999999999999993</c:v>
                </c:pt>
                <c:pt idx="11">
                  <c:v>12.3</c:v>
                </c:pt>
                <c:pt idx="12">
                  <c:v>11.8</c:v>
                </c:pt>
                <c:pt idx="13">
                  <c:v>10.9</c:v>
                </c:pt>
                <c:pt idx="14">
                  <c:v>8.5</c:v>
                </c:pt>
                <c:pt idx="15">
                  <c:v>16.100000000000001</c:v>
                </c:pt>
                <c:pt idx="16">
                  <c:v>13.5</c:v>
                </c:pt>
                <c:pt idx="17">
                  <c:v>8.5</c:v>
                </c:pt>
                <c:pt idx="18">
                  <c:v>10</c:v>
                </c:pt>
                <c:pt idx="19">
                  <c:v>7.6</c:v>
                </c:pt>
                <c:pt idx="20">
                  <c:v>4.7</c:v>
                </c:pt>
                <c:pt idx="21">
                  <c:v>9.1</c:v>
                </c:pt>
                <c:pt idx="22">
                  <c:v>8.9</c:v>
                </c:pt>
                <c:pt idx="23">
                  <c:v>19.3</c:v>
                </c:pt>
                <c:pt idx="24">
                  <c:v>5.7</c:v>
                </c:pt>
                <c:pt idx="25">
                  <c:v>7.8</c:v>
                </c:pt>
                <c:pt idx="26">
                  <c:v>11.2</c:v>
                </c:pt>
              </c:numCache>
            </c:numRef>
          </c:xVal>
          <c:yVal>
            <c:numRef>
              <c:f>'ID7'!$L$14:$L$40</c:f>
              <c:numCache>
                <c:formatCode>General</c:formatCode>
                <c:ptCount val="27"/>
                <c:pt idx="0">
                  <c:v>0.3</c:v>
                </c:pt>
                <c:pt idx="1">
                  <c:v>0.4</c:v>
                </c:pt>
                <c:pt idx="2">
                  <c:v>-1</c:v>
                </c:pt>
                <c:pt idx="3">
                  <c:v>-0.8</c:v>
                </c:pt>
                <c:pt idx="4">
                  <c:v>-1.3</c:v>
                </c:pt>
                <c:pt idx="5">
                  <c:v>0</c:v>
                </c:pt>
                <c:pt idx="6">
                  <c:v>0.7</c:v>
                </c:pt>
                <c:pt idx="7">
                  <c:v>-1</c:v>
                </c:pt>
                <c:pt idx="8">
                  <c:v>0.6</c:v>
                </c:pt>
                <c:pt idx="9">
                  <c:v>-0.4</c:v>
                </c:pt>
                <c:pt idx="10">
                  <c:v>-0.1</c:v>
                </c:pt>
                <c:pt idx="11">
                  <c:v>0.3</c:v>
                </c:pt>
                <c:pt idx="12">
                  <c:v>-1.3</c:v>
                </c:pt>
                <c:pt idx="13">
                  <c:v>0.1</c:v>
                </c:pt>
                <c:pt idx="14">
                  <c:v>-0.1</c:v>
                </c:pt>
                <c:pt idx="15">
                  <c:v>-2.9</c:v>
                </c:pt>
                <c:pt idx="16">
                  <c:v>2.8</c:v>
                </c:pt>
                <c:pt idx="17">
                  <c:v>1.7</c:v>
                </c:pt>
                <c:pt idx="18">
                  <c:v>-1.3</c:v>
                </c:pt>
                <c:pt idx="19">
                  <c:v>0</c:v>
                </c:pt>
                <c:pt idx="20">
                  <c:v>0.5</c:v>
                </c:pt>
                <c:pt idx="21">
                  <c:v>-1.6</c:v>
                </c:pt>
                <c:pt idx="22">
                  <c:v>0.4</c:v>
                </c:pt>
                <c:pt idx="23">
                  <c:v>-0.5</c:v>
                </c:pt>
                <c:pt idx="24">
                  <c:v>0.1</c:v>
                </c:pt>
                <c:pt idx="25">
                  <c:v>-0.6</c:v>
                </c:pt>
                <c:pt idx="26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013-4445-A54E-C978EE68F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'ID7'!$K$5</c:f>
              <c:strCache>
                <c:ptCount val="1"/>
                <c:pt idx="0">
                  <c:v>Young people not in employment, education or training (% of total population aged 15-29)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'ID7'!$K$9</c:f>
              <c:strCache>
                <c:ptCount val="1"/>
                <c:pt idx="0">
                  <c:v>Young people not in employment, education or training (% of total population aged 15-29)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'ID17'!$P$13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{96F31106-A321-4D3E-954A-39986D154143}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{7B48829C-5771-4CBE-8FFF-47841E85B991}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{45E513BB-C2F8-46A5-8905-EF6E6CAB606D}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{39843BC5-242B-41C1-9B09-66367752F4F8}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{8DD65C51-04DF-45E3-9A28-E34F6935459F}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{284834AF-A55F-4B08-8A07-8ACEE3036C1E}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{FDCB9C01-F5B7-4299-BA38-D1773091623D}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{AA2F1901-050D-4EA1-9390-08F88EADBD83}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{86A498B3-9A8F-4C4C-A7D3-A35CCA75B4FA}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{2631A28F-865B-457C-B44F-861DB9CC008F}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{EAA4AC00-3860-46FF-95A8-7B5E16BED16A}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{463026C1-90FD-4846-97ED-E18C24E9622D}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{ADE16A2A-2008-4F9B-A3A4-8A475D6E288B}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{33D31BBE-A8F9-4212-8ADC-F23B52639298}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{B2BE1A5A-1761-4671-9D58-AA77C6AA4A63}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{09F63ED1-B505-4CFB-90BC-8AC3EB54B845}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{5A96F924-A806-4B5F-B096-ED24C36B5533}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{37F7D0A7-DAB9-435B-BD5A-F7AE7FD96B72}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{36798832-9E5E-4525-A478-47F7E68ED1E8}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{69CC9396-560C-4BCA-A1C1-5CA2A0FD44D2}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{356B5058-0F65-4A8F-8848-5B2233B79F71}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{AD7D09BA-C69C-4969-A278-893705133973}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{A9E975FE-EDC9-4E6A-B39A-4244778E1ABE}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{71933F30-B04E-44A3-A57A-CFC574AB3BD6}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{D482166F-1254-455D-8712-31CF58B665D3}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{8BD19E4C-7DC7-4812-AD4A-CF14CC2CE8DA}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{CE437F04-7365-4483-A4F3-1A211CE5F12A}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{F191724E-F965-46B9-882F-EA43CF5FBE5A}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C20-4162-A2D4-835974460863}"/>
            </c:ext>
          </c:extLst>
        </c:ser>
        <c:ser>
          <c:idx val="2"/>
          <c:order val="1"/>
          <c:tx>
            <c:strRef>
              <c:f>'ID17'!$Q$13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{5CB84E89-3433-45F8-B0F7-F75FF7B473E3}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{AA5D9D4F-B1B2-4A06-AA3D-5DBF75EA1238}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{171FCAF7-9856-4F43-8795-F45A95193767}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{A8854790-7CDD-47DA-B659-A324A78ED25C}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{0D05BF2C-8FA1-4275-95DB-C4CD6F8CF642}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{3C1FD246-730E-49B2-97CE-784E51F24D3B}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{4D4FE93C-8570-4DC9-8CCB-ECA362B97B58}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{DDE8DD09-C585-4E8A-B8AE-DCCE7F364C17}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{266D3D85-3F73-4A94-8DBE-84625F7FBB4D}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{495CFE61-B91E-4164-966D-71A9E4B45B9F}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{892AC4B8-C5B0-4156-B0BD-86207E53C6A5}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{2EE4CA33-DB4A-4289-B969-4814625248A1}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{CF4C8DCF-8A7D-482A-AB2C-5B5D0F95F01E}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{1B5DA17D-D120-45D0-93DD-93A21C5CB81B}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{28212D93-EFB4-4EBB-8DAE-3F8A4A7D26DC}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{5A487682-B442-4034-9AFC-43EFABF25483}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{480B593F-7024-43FC-9FE4-535FCE6FDD8E}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{31B0DE9D-BA64-496B-944D-EC5CAFCC3E73}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{B5A709A5-D9E9-4E30-986B-4253D2C6CE84}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{33EDD011-D69C-4C75-930C-3706517B0E72}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{CD45466F-EE24-4528-9BE4-D87384A7422D}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{527DC7C8-3115-48D7-97E3-ED40CE23B2E4}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{6F8F3A89-B82F-4484-BD12-50B6D6B5665E}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{832BEB92-D275-444D-B281-5DEE4FF618BE}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{08505AB1-CC11-4EAD-BCB1-283C3EA01B29}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{DC74AA10-19EF-4AFB-A363-578EF85D4A6C}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{F63A2E30-2B90-4EAE-96B4-9AA8A1E6459D}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{8CF11154-795C-4BEF-B78B-CD4EEB8F3622}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-0.5</c:v>
                </c:pt>
                <c:pt idx="8">
                  <c:v>#N/A</c:v>
                </c:pt>
                <c:pt idx="9">
                  <c:v>#N/A</c:v>
                </c:pt>
                <c:pt idx="10">
                  <c:v>-1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C20-4162-A2D4-835974460863}"/>
            </c:ext>
          </c:extLst>
        </c:ser>
        <c:ser>
          <c:idx val="3"/>
          <c:order val="2"/>
          <c:tx>
            <c:strRef>
              <c:f>'ID17'!$R$13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{3B831F27-EED1-4868-8B40-B00918D98A08}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{70C235F4-3AE8-486D-93A1-6635CF2408B6}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{56DA24BE-C471-4862-B304-C9CF4314D8E4}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{D36ECE55-68DF-47F6-AF9D-A570B42D8C3D}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{EACD471A-1D05-4B6D-A093-22F6E1651037}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{1585760B-C4C4-42C8-8BB1-2066B35A865D}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{678B47C7-8A1D-49B8-9AD1-9F8407313E31}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{06D3387C-3AE2-48F1-BB2F-8A5E83023B8D}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{44369793-8CCE-44AD-93FF-0F9B4126A6A6}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{50EEF4BB-D1CA-4BF4-8BC7-BD5FC9914954}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{1731C867-B888-42CB-B072-EBE7418CCF48}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{47DA1EBF-5631-4F98-939D-D66614E7E706}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{5098ACC4-67F6-4FB9-94E6-3C6A35A0F199}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{E3883B64-E616-470B-A00F-6CCD403ED372}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{F3BD9865-D056-4503-9016-899842B89958}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{CFD12EC0-5CF4-4B27-9C54-E30AC04CB274}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{FDD32968-8611-4BF5-9326-38EC41A6931D}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{F0041D09-992D-4379-997A-03401B3AE62C}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{48E7A898-9303-41CE-9084-2A8B44A3E76A}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{5A2FE627-6340-4B46-8EF8-5B9E3ECD4CD3}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{80C8AAFD-8884-4073-92C5-C239775A6D37}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{86832A2F-EF72-4EF5-A390-F7D39FE0BF07}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{282408C9-D630-4583-8F14-BFB5030EE83A}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{D9B319C0-D983-4064-A9D8-FBC85D6B8A40}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{D7A97553-77A6-47C6-9423-CECFC668BBFD}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{0B7A544F-1FE0-40A8-AAEF-A359DA9B2566}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{4A1DC7D6-8738-4124-97CC-FAF3BDB86B18}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{EC6EF6AC-BAEC-4381-9030-DE7689CF42DA}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-3.1</c:v>
                </c:pt>
                <c:pt idx="4">
                  <c:v>#N/A</c:v>
                </c:pt>
                <c:pt idx="5">
                  <c:v>#N/A</c:v>
                </c:pt>
                <c:pt idx="6">
                  <c:v>0.2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-0.3</c:v>
                </c:pt>
                <c:pt idx="12">
                  <c:v>-1.7</c:v>
                </c:pt>
                <c:pt idx="13">
                  <c:v>#N/A</c:v>
                </c:pt>
                <c:pt idx="14">
                  <c:v>-1.5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-0.3</c:v>
                </c:pt>
                <c:pt idx="23">
                  <c:v>#N/A</c:v>
                </c:pt>
                <c:pt idx="24">
                  <c:v>-1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C20-4162-A2D4-835974460863}"/>
            </c:ext>
          </c:extLst>
        </c:ser>
        <c:ser>
          <c:idx val="4"/>
          <c:order val="3"/>
          <c:tx>
            <c:strRef>
              <c:f>'ID17'!$S$13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{7F895A86-5013-4CA6-94F5-013557A3D72A}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{7B4F44A4-0FF7-4D50-86DE-5A459F761408}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{4DDF96D8-BFF7-4101-99AA-D3E8DA0AB14A}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{5C4F4945-EEA8-4754-86A1-4D8C77F09AC1}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{2BD84692-9C18-4155-9550-CA5BA2314B45}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{B9DCF2E7-EEF6-4139-97EC-3174C13C4BA4}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{76E9CD4C-EFD9-452E-8755-DF84168C0E95}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{E82E24AA-AA1A-48B6-9F2A-2B8DFA6D7395}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{E2B60B7E-67EB-472D-89C8-49F5583EEA92}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{CDA67151-584A-48DC-8C57-329F8B2864DC}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{D95F8B69-BE51-42F9-A0D3-285BF716BAE1}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{E3D04E75-9120-421F-8CE0-0FCD89D8BAA4}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{57FD479A-4E01-450B-B5C9-B4940C05FBED}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{1A08DD42-6A55-40FE-86EE-BF322A807726}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{1D1F781F-2837-4B14-819F-19783811AC35}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{1B0001A5-0494-47C6-A2E1-B8AF4E9BC10E}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{ED322B7D-E815-488C-88EA-D1B71A0DDD84}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{A4B04E69-8603-407A-BEE0-AEB57D9A646E}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{5A669982-2B4A-4D90-A31A-0F493954B91D}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{AC2E62F5-2091-48FB-9C4D-A0E9F0388ED1}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{043D68A1-007F-489E-8211-BEBDF9ED8060}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{A4F835B4-F0C1-4201-82C5-E3ED30C6318A}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{4964F961-F574-4D01-A8E7-4A229134245C}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{B695C341-0B65-4F0B-A6CC-C0855487835A}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{B8F303F8-616B-40DF-BBAC-A0C6050430A0}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{8DBAE2D1-401A-4F96-9D24-20E389969CD6}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{6EC8E01D-F12C-49CA-9884-46032EE30150}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{9514CF62-0461-4189-B0F6-D865E79BFAC6}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-1.1000000000000001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AC20-4162-A2D4-835974460863}"/>
            </c:ext>
          </c:extLst>
        </c:ser>
        <c:ser>
          <c:idx val="5"/>
          <c:order val="4"/>
          <c:tx>
            <c:strRef>
              <c:f>'ID17'!$T$13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{C9E15BA2-947C-4F3C-8EA0-0EED89513DA2}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{8B7841AC-C0C3-409E-B6A7-352755EECA92}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{363378F5-7F82-464D-AF8C-5DF2D1F919CF}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{C687D0AE-4045-4A86-8357-0FDBE4876254}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{602190AD-DF65-449A-AB2B-D32C24CC255B}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{219961A7-FD20-4EB6-9C21-45A12AC62082}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{D2C17977-1F5F-419D-9359-6A1354829F06}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{EEE37D7D-D059-42AB-8037-1196EA84549D}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{1130A31E-1CB6-451E-B232-D6E8A95745E0}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{2D5A1858-C7D8-42C5-9552-F6EE79009AA0}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{CA1AA7A9-7461-4FDF-9C6D-631437BE43B7}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{3AC5FDA9-E081-40AE-8B53-48BBDD549B4B}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{0E79250C-C74D-45D2-B5FD-9509C4F726FB}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{FC73894E-6ADB-4D98-AE04-C33F5176C9F3}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{8C7D1A43-9545-4454-BFE2-6A82A0E6C399}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{F94DFE0D-8604-4E7E-94D6-ADB4C7009CE5}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{C364E22B-5BAE-4AC9-A031-60DC18DE677E}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{A0D9D29F-59B6-4119-AD19-59F6DBA8C4E4}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{15D99144-89EA-400E-9EFD-880DA544874C}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{D6C205E7-8A52-4F5E-B4F3-8CB7F2430E54}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{157579D6-F167-4F5F-B297-F1FCC8676790}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{BA2B8AE0-6E9A-4FAF-9843-D1E9D51634E1}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{43A37C2A-96CD-4303-BFA1-3E4588C7D4C9}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{E621A49C-F2E8-4C2F-83BF-66DB8B620AD5}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{5C726D10-129E-4570-90AD-B799131755A5}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{F6F45998-23D5-44D0-8CC2-FF6FB6EC565E}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{939BD1D4-BD2B-4832-8E0F-1A42327E305F}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{FA9B241F-52E3-4E8C-B5F8-AFA9E5A441A8}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AC20-4162-A2D4-835974460863}"/>
            </c:ext>
          </c:extLst>
        </c:ser>
        <c:ser>
          <c:idx val="0"/>
          <c:order val="5"/>
          <c:tx>
            <c:strRef>
              <c:f>'ID17'!$U$13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{83240E76-9E51-4B50-A6A6-C2F968016989}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{9235D184-E842-4F15-BB58-1C30AC604145}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{A6B50B50-3C86-4BA1-84C3-B5A7A2995B38}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{4ADD309F-DB1E-4B74-8B79-D64DE3B606F5}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{BC1F39A4-3E60-47CD-B850-63CCE8626061}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{E9736181-A589-4A1B-88B4-DBC60A66E47C}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{3E105DCD-B1AF-4B91-B5DB-12FF36EF4B25}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{B6FFF9A1-4144-4A48-ACB2-DE5A21F15497}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{C6245C52-CF7A-4578-86DE-588CC03675E5}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{EA48BB1A-AE23-4376-88A7-3AF22C64B9A4}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{7361DC1A-27B5-4EDE-9FE1-1EA8D9367701}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{539DD904-77C7-41F1-A6F5-0ECD896548CC}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{CCEEAE9C-1392-4772-A73D-4B3CFB79BC2C}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{EDA1C17F-1F4B-4FFD-A277-4D3CBEC5F95C}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{0D2CAE42-99C8-4DC6-98CA-851E8D7A0A75}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{51ADADAB-5D4E-4ED3-8B74-2FE3D67EC679}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{321D5966-837B-4D3E-8F80-590E1C98D652}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{370E13AF-46E0-4A04-A60F-F9666DE3E3A1}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{52509E01-CFC5-4339-B499-9B4B06E90A4A}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{60F5EAF7-C1CC-482B-8464-0BC3E7166A0C}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{BF516337-E58D-4E74-92C2-EE7303708FC0}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{B6555E26-C838-4E1E-8A2F-79E56F7BEABC}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{3D2BAE5A-6866-4742-9A6E-F34F510FC6D2}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{539EDE7B-7B69-4D85-8F6F-57132997303C}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{388C14FD-66A6-4CC2-8D9D-02DD87C4752A}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{935B9A5B-2A03-4091-912A-5531AD49C4DD}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{9206F498-4369-40A3-AAA6-A44189A0E5DE}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{F6A0C0DC-14B6-44F4-AC6F-1619176B5383}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'ID17'!$U$14:$U$40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-0.2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-0.6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</c:v>
                </c:pt>
                <c:pt idx="18">
                  <c:v>#N/A</c:v>
                </c:pt>
                <c:pt idx="19">
                  <c:v>#N/A</c:v>
                </c:pt>
                <c:pt idx="20">
                  <c:v>-0.1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-0.8</c:v>
                </c:pt>
                <c:pt idx="26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AC20-4162-A2D4-835974460863}"/>
            </c:ext>
          </c:extLst>
        </c:ser>
        <c:ser>
          <c:idx val="6"/>
          <c:order val="6"/>
          <c:tx>
            <c:strRef>
              <c:f>'ID17'!$V$13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'ID17'!$N$14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{E1A79C57-F3AA-4695-9896-A0AB3C16829A}</c15:txfldGUID>
                      <c15:f>'ID17'!$N$14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C20-4162-A2D4-835974460863}"/>
                </c:ext>
              </c:extLst>
            </c:dLbl>
            <c:dLbl>
              <c:idx val="1"/>
              <c:tx>
                <c:strRef>
                  <c:f>'ID17'!$N$15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{D58847D1-E081-403F-8B06-1DEB9DE77F56}</c15:txfldGUID>
                      <c15:f>'ID17'!$N$15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C20-4162-A2D4-835974460863}"/>
                </c:ext>
              </c:extLst>
            </c:dLbl>
            <c:dLbl>
              <c:idx val="2"/>
              <c:tx>
                <c:strRef>
                  <c:f>'ID17'!$N$16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{D124F4CD-B05A-4664-B3B6-36695AF1A5B7}</c15:txfldGUID>
                      <c15:f>'ID17'!$N$16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C20-4162-A2D4-835974460863}"/>
                </c:ext>
              </c:extLst>
            </c:dLbl>
            <c:dLbl>
              <c:idx val="3"/>
              <c:tx>
                <c:strRef>
                  <c:f>'ID17'!$N$17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{51C7C6E1-CFC9-476A-BBA7-52C936696FFB}</c15:txfldGUID>
                      <c15:f>'ID17'!$N$17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C20-4162-A2D4-835974460863}"/>
                </c:ext>
              </c:extLst>
            </c:dLbl>
            <c:dLbl>
              <c:idx val="4"/>
              <c:tx>
                <c:strRef>
                  <c:f>'ID17'!$N$18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{C3FC4DF4-26D2-46B5-BE57-50D7C49987C8}</c15:txfldGUID>
                      <c15:f>'ID17'!$N$18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C20-4162-A2D4-835974460863}"/>
                </c:ext>
              </c:extLst>
            </c:dLbl>
            <c:dLbl>
              <c:idx val="5"/>
              <c:tx>
                <c:strRef>
                  <c:f>'ID17'!$N$19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{8BE963BC-78F4-46F0-8778-0CFCF0927163}</c15:txfldGUID>
                      <c15:f>'ID17'!$N$19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C20-4162-A2D4-835974460863}"/>
                </c:ext>
              </c:extLst>
            </c:dLbl>
            <c:dLbl>
              <c:idx val="6"/>
              <c:tx>
                <c:strRef>
                  <c:f>'ID17'!$N$20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{B37DD6C5-076E-4868-9F43-80BE4B8AAC57}</c15:txfldGUID>
                      <c15:f>'ID17'!$N$20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C20-4162-A2D4-835974460863}"/>
                </c:ext>
              </c:extLst>
            </c:dLbl>
            <c:dLbl>
              <c:idx val="7"/>
              <c:tx>
                <c:strRef>
                  <c:f>'ID17'!$N$21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{DFF1D209-0960-4FA8-B9DE-65366D7563B1}</c15:txfldGUID>
                      <c15:f>'ID17'!$N$21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C20-4162-A2D4-835974460863}"/>
                </c:ext>
              </c:extLst>
            </c:dLbl>
            <c:dLbl>
              <c:idx val="8"/>
              <c:tx>
                <c:strRef>
                  <c:f>'ID17'!$N$22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{A40CA88B-FC4E-42C2-A45E-D5567B54CFDD}</c15:txfldGUID>
                      <c15:f>'ID17'!$N$22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C20-4162-A2D4-835974460863}"/>
                </c:ext>
              </c:extLst>
            </c:dLbl>
            <c:dLbl>
              <c:idx val="9"/>
              <c:tx>
                <c:strRef>
                  <c:f>'ID17'!$N$23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{DECA4436-3B60-4F61-B545-705A092E8CA7}</c15:txfldGUID>
                      <c15:f>'ID17'!$N$23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C20-4162-A2D4-835974460863}"/>
                </c:ext>
              </c:extLst>
            </c:dLbl>
            <c:dLbl>
              <c:idx val="10"/>
              <c:tx>
                <c:strRef>
                  <c:f>'ID17'!$N$24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{CC7B6F9F-EED8-426E-BF9A-C95D5F3256BA}</c15:txfldGUID>
                      <c15:f>'ID17'!$N$24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C20-4162-A2D4-835974460863}"/>
                </c:ext>
              </c:extLst>
            </c:dLbl>
            <c:dLbl>
              <c:idx val="11"/>
              <c:tx>
                <c:strRef>
                  <c:f>'ID17'!$N$25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{C11F55AD-3CFC-475C-8BA5-56B5EA53303F}</c15:txfldGUID>
                      <c15:f>'ID17'!$N$25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C20-4162-A2D4-835974460863}"/>
                </c:ext>
              </c:extLst>
            </c:dLbl>
            <c:dLbl>
              <c:idx val="12"/>
              <c:tx>
                <c:strRef>
                  <c:f>'ID17'!$N$26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{9FD7A957-D274-48A6-8C3F-EA9998E985E1}</c15:txfldGUID>
                      <c15:f>'ID17'!$N$26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C20-4162-A2D4-835974460863}"/>
                </c:ext>
              </c:extLst>
            </c:dLbl>
            <c:dLbl>
              <c:idx val="13"/>
              <c:tx>
                <c:strRef>
                  <c:f>'ID17'!$N$27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{8868B0E7-AA30-41FC-814F-16ACEBA6F676}</c15:txfldGUID>
                      <c15:f>'ID17'!$N$27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C20-4162-A2D4-835974460863}"/>
                </c:ext>
              </c:extLst>
            </c:dLbl>
            <c:dLbl>
              <c:idx val="14"/>
              <c:tx>
                <c:strRef>
                  <c:f>'ID17'!$N$28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{6C05A947-9CA4-43F7-A56F-7F3A09DB54B7}</c15:txfldGUID>
                      <c15:f>'ID17'!$N$28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C20-4162-A2D4-835974460863}"/>
                </c:ext>
              </c:extLst>
            </c:dLbl>
            <c:dLbl>
              <c:idx val="15"/>
              <c:tx>
                <c:strRef>
                  <c:f>'ID17'!$N$29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{94EC4754-5718-4C38-B78B-8F0664AC4364}</c15:txfldGUID>
                      <c15:f>'ID17'!$N$29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C20-4162-A2D4-835974460863}"/>
                </c:ext>
              </c:extLst>
            </c:dLbl>
            <c:dLbl>
              <c:idx val="16"/>
              <c:tx>
                <c:strRef>
                  <c:f>'ID17'!$N$30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{16D7583F-F5E3-492F-ACB4-571104431187}</c15:txfldGUID>
                      <c15:f>'ID17'!$N$30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C20-4162-A2D4-835974460863}"/>
                </c:ext>
              </c:extLst>
            </c:dLbl>
            <c:dLbl>
              <c:idx val="17"/>
              <c:tx>
                <c:strRef>
                  <c:f>'ID17'!$N$31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{A47DDB14-0741-420D-90C5-D056C11BC967}</c15:txfldGUID>
                      <c15:f>'ID17'!$N$31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C20-4162-A2D4-835974460863}"/>
                </c:ext>
              </c:extLst>
            </c:dLbl>
            <c:dLbl>
              <c:idx val="18"/>
              <c:tx>
                <c:strRef>
                  <c:f>'ID17'!$N$32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{7CD39313-D609-4E9D-A6EC-93EBFADB110D}</c15:txfldGUID>
                      <c15:f>'ID17'!$N$32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C20-4162-A2D4-835974460863}"/>
                </c:ext>
              </c:extLst>
            </c:dLbl>
            <c:dLbl>
              <c:idx val="19"/>
              <c:tx>
                <c:strRef>
                  <c:f>'ID17'!$N$33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{8CD6CADE-5D56-40A7-AA7D-94E46AE3DEB6}</c15:txfldGUID>
                      <c15:f>'ID17'!$N$33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C20-4162-A2D4-835974460863}"/>
                </c:ext>
              </c:extLst>
            </c:dLbl>
            <c:dLbl>
              <c:idx val="20"/>
              <c:tx>
                <c:strRef>
                  <c:f>'ID17'!$N$34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{46793DB4-BE30-480D-B364-93FB585A484C}</c15:txfldGUID>
                      <c15:f>'ID17'!$N$34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C20-4162-A2D4-835974460863}"/>
                </c:ext>
              </c:extLst>
            </c:dLbl>
            <c:dLbl>
              <c:idx val="21"/>
              <c:tx>
                <c:strRef>
                  <c:f>'ID17'!$N$35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{7586B9F0-F379-4C34-94C1-282E24C62D03}</c15:txfldGUID>
                      <c15:f>'ID17'!$N$35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C20-4162-A2D4-835974460863}"/>
                </c:ext>
              </c:extLst>
            </c:dLbl>
            <c:dLbl>
              <c:idx val="22"/>
              <c:tx>
                <c:strRef>
                  <c:f>'ID17'!$N$36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{9FB494E8-547B-46B7-84CE-017035799CC7}</c15:txfldGUID>
                      <c15:f>'ID17'!$N$36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C20-4162-A2D4-835974460863}"/>
                </c:ext>
              </c:extLst>
            </c:dLbl>
            <c:dLbl>
              <c:idx val="23"/>
              <c:tx>
                <c:strRef>
                  <c:f>'ID17'!$N$37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{15EC09E5-A0F1-41E6-B856-F99FFD9C79F1}</c15:txfldGUID>
                      <c15:f>'ID17'!$N$37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C20-4162-A2D4-835974460863}"/>
                </c:ext>
              </c:extLst>
            </c:dLbl>
            <c:dLbl>
              <c:idx val="24"/>
              <c:tx>
                <c:strRef>
                  <c:f>'ID17'!$N$38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{B834C81A-72EB-42B6-A6EA-C535DD3BA983}</c15:txfldGUID>
                      <c15:f>'ID17'!$N$38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C20-4162-A2D4-835974460863}"/>
                </c:ext>
              </c:extLst>
            </c:dLbl>
            <c:dLbl>
              <c:idx val="25"/>
              <c:tx>
                <c:strRef>
                  <c:f>'ID17'!$N$39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{6891355E-C646-4E0B-AE07-54EA86FF2953}</c15:txfldGUID>
                      <c15:f>'ID17'!$N$39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C20-4162-A2D4-835974460863}"/>
                </c:ext>
              </c:extLst>
            </c:dLbl>
            <c:dLbl>
              <c:idx val="26"/>
              <c:tx>
                <c:strRef>
                  <c:f>'ID17'!$N$40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{05971E40-1D95-440E-BE2C-BF8F9D5EDC83}</c15:txfldGUID>
                      <c15:f>'ID17'!$N$40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C20-4162-A2D4-835974460863}"/>
                </c:ext>
              </c:extLst>
            </c:dLbl>
            <c:dLbl>
              <c:idx val="27"/>
              <c:tx>
                <c:strRef>
                  <c:f>'ID17'!$N$41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{BB806B1F-624B-4B93-8A9F-C6CDB45A195C}</c15:txfldGUID>
                      <c15:f>'ID17'!$N$41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C20-4162-A2D4-8359744608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'ID17'!$O$14:$O$40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AC20-4162-A2D4-835974460863}"/>
            </c:ext>
          </c:extLst>
        </c:ser>
        <c:ser>
          <c:idx val="7"/>
          <c:order val="7"/>
          <c:tx>
            <c:strRef>
              <c:f>'ID17'!$J$48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'ID17'!$K$48:$K$49</c:f>
              <c:numCache>
                <c:formatCode>0.0</c:formatCode>
                <c:ptCount val="2"/>
                <c:pt idx="0">
                  <c:v>0.2</c:v>
                </c:pt>
                <c:pt idx="1">
                  <c:v>19.8</c:v>
                </c:pt>
              </c:numCache>
            </c:numRef>
          </c:xVal>
          <c:yVal>
            <c:numRef>
              <c:f>'ID17'!$L$48:$L$49</c:f>
              <c:numCache>
                <c:formatCode>0.000</c:formatCode>
                <c:ptCount val="2"/>
                <c:pt idx="0" formatCode="General">
                  <c:v>-0.49629629629629629</c:v>
                </c:pt>
                <c:pt idx="1">
                  <c:v>-0.49629629629629629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AC20-4162-A2D4-835974460863}"/>
            </c:ext>
          </c:extLst>
        </c:ser>
        <c:ser>
          <c:idx val="8"/>
          <c:order val="8"/>
          <c:tx>
            <c:strRef>
              <c:f>'ID17'!$J$51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'ID17'!$K$51:$K$52</c:f>
              <c:numCache>
                <c:formatCode>0.000</c:formatCode>
                <c:ptCount val="2"/>
                <c:pt idx="0">
                  <c:v>8.5777777777777793</c:v>
                </c:pt>
                <c:pt idx="1">
                  <c:v>8.5777777777777793</c:v>
                </c:pt>
              </c:numCache>
            </c:numRef>
          </c:xVal>
          <c:yVal>
            <c:numRef>
              <c:f>'ID17'!$L$51:$L$52</c:f>
              <c:numCache>
                <c:formatCode>0.0</c:formatCode>
                <c:ptCount val="2"/>
                <c:pt idx="0">
                  <c:v>-3.1</c:v>
                </c:pt>
                <c:pt idx="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AC20-4162-A2D4-835974460863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'ID17'!$K$14:$K$40</c:f>
              <c:numCache>
                <c:formatCode>General</c:formatCode>
                <c:ptCount val="27"/>
                <c:pt idx="0">
                  <c:v>7.8</c:v>
                </c:pt>
                <c:pt idx="1">
                  <c:v>7.6</c:v>
                </c:pt>
                <c:pt idx="2">
                  <c:v>7.3</c:v>
                </c:pt>
                <c:pt idx="3">
                  <c:v>9</c:v>
                </c:pt>
                <c:pt idx="4">
                  <c:v>13.9</c:v>
                </c:pt>
                <c:pt idx="5">
                  <c:v>7.7</c:v>
                </c:pt>
                <c:pt idx="6">
                  <c:v>5.6</c:v>
                </c:pt>
                <c:pt idx="7">
                  <c:v>2.4</c:v>
                </c:pt>
                <c:pt idx="8">
                  <c:v>19.8</c:v>
                </c:pt>
                <c:pt idx="9">
                  <c:v>10.3</c:v>
                </c:pt>
                <c:pt idx="10">
                  <c:v>0.2</c:v>
                </c:pt>
                <c:pt idx="11">
                  <c:v>5.5</c:v>
                </c:pt>
                <c:pt idx="12">
                  <c:v>7.7</c:v>
                </c:pt>
                <c:pt idx="13">
                  <c:v>9.1999999999999993</c:v>
                </c:pt>
                <c:pt idx="14">
                  <c:v>9.9</c:v>
                </c:pt>
                <c:pt idx="15">
                  <c:v>19.5</c:v>
                </c:pt>
                <c:pt idx="16">
                  <c:v>1.5</c:v>
                </c:pt>
                <c:pt idx="17">
                  <c:v>6.8</c:v>
                </c:pt>
                <c:pt idx="18">
                  <c:v>3.1</c:v>
                </c:pt>
                <c:pt idx="19">
                  <c:v>14.1</c:v>
                </c:pt>
                <c:pt idx="20">
                  <c:v>7.8</c:v>
                </c:pt>
                <c:pt idx="21">
                  <c:v>11.8</c:v>
                </c:pt>
                <c:pt idx="22">
                  <c:v>5.5</c:v>
                </c:pt>
                <c:pt idx="23">
                  <c:v>19.100000000000001</c:v>
                </c:pt>
                <c:pt idx="24">
                  <c:v>4.7</c:v>
                </c:pt>
                <c:pt idx="25">
                  <c:v>6.1</c:v>
                </c:pt>
                <c:pt idx="26">
                  <c:v>7.7</c:v>
                </c:pt>
              </c:numCache>
            </c:numRef>
          </c:xVal>
          <c:yVal>
            <c:numRef>
              <c:f>'ID17'!$L$14:$L$40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-0.2</c:v>
                </c:pt>
                <c:pt idx="3">
                  <c:v>-3.1</c:v>
                </c:pt>
                <c:pt idx="4">
                  <c:v>-1</c:v>
                </c:pt>
                <c:pt idx="5">
                  <c:v>0</c:v>
                </c:pt>
                <c:pt idx="6">
                  <c:v>0.2</c:v>
                </c:pt>
                <c:pt idx="7">
                  <c:v>-0.5</c:v>
                </c:pt>
                <c:pt idx="8">
                  <c:v>-1.2</c:v>
                </c:pt>
                <c:pt idx="9">
                  <c:v>-0.9</c:v>
                </c:pt>
                <c:pt idx="10">
                  <c:v>-1</c:v>
                </c:pt>
                <c:pt idx="11">
                  <c:v>-0.3</c:v>
                </c:pt>
                <c:pt idx="12">
                  <c:v>-1.7</c:v>
                </c:pt>
                <c:pt idx="13">
                  <c:v>-0.6</c:v>
                </c:pt>
                <c:pt idx="14">
                  <c:v>-1.5</c:v>
                </c:pt>
                <c:pt idx="15">
                  <c:v>-0.2</c:v>
                </c:pt>
                <c:pt idx="16">
                  <c:v>0.7</c:v>
                </c:pt>
                <c:pt idx="17">
                  <c:v>0.3</c:v>
                </c:pt>
                <c:pt idx="18">
                  <c:v>0</c:v>
                </c:pt>
                <c:pt idx="19">
                  <c:v>0.8</c:v>
                </c:pt>
                <c:pt idx="20">
                  <c:v>-0.1</c:v>
                </c:pt>
                <c:pt idx="21">
                  <c:v>-1.1000000000000001</c:v>
                </c:pt>
                <c:pt idx="22">
                  <c:v>-0.3</c:v>
                </c:pt>
                <c:pt idx="23">
                  <c:v>0.5</c:v>
                </c:pt>
                <c:pt idx="24">
                  <c:v>-1</c:v>
                </c:pt>
                <c:pt idx="25">
                  <c:v>-0.8</c:v>
                </c:pt>
                <c:pt idx="26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C20-4162-A2D4-83597446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'ID17'!$K$5</c:f>
              <c:strCache>
                <c:ptCount val="1"/>
                <c:pt idx="0">
                  <c:v>Gender employment gap (percentage points,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'ID17'!$K$9</c:f>
              <c:strCache>
                <c:ptCount val="1"/>
                <c:pt idx="0">
                  <c:v>Gender employment gap (percentage points,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'ID20'!$P$13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{23E22026-CD14-4E3E-996F-577CD7B0066A}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{EE1B2A9C-2C51-49D2-A7AC-74564FA90DB7}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{13CD4485-046A-4485-9097-D99B7EF8E435}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{150E890B-C1AF-49C7-A66A-F0764A4B6205}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{DA4C3BE6-7B54-4D56-B4BF-486AD66CA516}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{1E35EA61-AE85-4FC2-8655-CAA1224066DE}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{03F1B90C-C45E-4574-92F5-7F049EEBB89E}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{38B7C75E-EB76-4D27-821B-25B1EFE5D7FF}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{DA89EE7D-16CB-4CF0-9BCD-CFBE80136D88}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{4544EE2A-1912-49CD-B019-B5454318E31F}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{3FCA4E2A-82DB-4AA7-BF36-0905A68CC192}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{9F570FB8-3357-467A-A24D-A290577DC7C9}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{69DFDBE3-2FC1-49D5-92DA-DB95B72F7C73}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{EF41A242-4853-4862-A01D-AF79F7271F74}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{0CE3F8C7-BED6-4057-9639-A5026441274E}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{72BF15C6-9575-42AF-8B2F-8826B3C4DAC5}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{D8DD3A88-2275-4E70-8F1A-6FDCD7CDE457}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{72946C4E-BEFA-4247-B4AC-8651BCB940A8}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{380B4946-E316-415C-9610-0539099B5ABE}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{B63AFB8D-04E2-473E-AE90-82B9AFF4E4E7}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{3364E95C-3686-4F7A-A0CB-B4E9E569CAE7}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{032A0DE5-0850-4BC6-B62A-C25F4FF69381}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{C3B131DD-916C-41E7-BB95-CA0E8A3ED661}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{C24A2F3E-496D-4618-97C0-B0F834516512}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{E3738A2F-5CDB-46E1-8E68-48ADC11F9EB3}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{EB3BB2C0-9AD2-4F62-A517-2EF19993DB35}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{37FE3D1F-36AB-49A4-B27D-15181344E4D9}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{4D2EED8B-E483-47C3-94E9-7A8184E10FA2}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22-49DC-96A9-6E454579C56D}"/>
            </c:ext>
          </c:extLst>
        </c:ser>
        <c:ser>
          <c:idx val="2"/>
          <c:order val="1"/>
          <c:tx>
            <c:strRef>
              <c:f>'ID20'!$Q$13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{8E778F4D-1FEA-484D-9BD9-127AF6516145}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{38F7CDED-BD3E-4600-A209-EFCDD5BCCAD4}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{696689A5-E608-438A-A320-DA9385E20993}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{5850C8EF-898D-4C95-9322-0D54D3E00B64}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{F73F7C8C-0DFB-4D48-B5CB-715D3EFC34F8}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{51CD5715-2E6C-483C-9B3A-A8B3DD4D8F58}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{DF068E66-FCAF-4AE0-9759-D4C519E6FCF1}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{D8CDCFD0-F75A-409C-994B-B81E4B4FD363}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{0F6256BD-295C-46D3-8447-C1D2AA749916}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{E4374D6E-585D-4884-B76F-9EA54F148778}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{4E65A852-0E15-44CD-A202-5C4243311E0C}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{84A52C40-7B93-442D-9974-EB752A804922}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{F80B123C-ED7D-432F-9C0D-1EE905596640}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{AC47D61F-574B-4D7E-962D-25A9E60E3552}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{80885C29-3111-42C8-99A6-A6FD9CB80954}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{122D3E8C-C3B7-451D-829D-189740872C12}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{ECD76A0A-6568-4064-BD2A-59BA797B63CD}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{D4EFBD65-8110-4490-90A4-D5ECB9075CB7}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{4F60640B-BFE6-4655-B48D-5FB353E7718E}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{355991A3-D343-4315-BB2E-EE4A59FFE50D}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{EEA9A258-3685-48E0-A873-278D4A76C813}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{75037D8C-E87C-4C43-A58E-CA077B96A5B7}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{B652BD70-83EB-4495-9DB4-E02752417B0B}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{1CDC2C89-9B10-4AAC-BC50-5E74CCFC86F0}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{38131CDD-B77B-459E-9A83-DC7DA3E9949A}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{F50B1B74-5A38-4B5E-B6C8-7F7EFFF5959C}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{0CA919D4-5293-4108-83FC-1C43DC269905}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{BB2FCFF7-13A5-43EB-94C8-56D67530E49C}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-0.18</c:v>
                </c:pt>
                <c:pt idx="2">
                  <c:v>#N/A</c:v>
                </c:pt>
                <c:pt idx="3">
                  <c:v>#N/A</c:v>
                </c:pt>
                <c:pt idx="4">
                  <c:v>-0.06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0.06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D22-49DC-96A9-6E454579C56D}"/>
            </c:ext>
          </c:extLst>
        </c:ser>
        <c:ser>
          <c:idx val="3"/>
          <c:order val="2"/>
          <c:tx>
            <c:strRef>
              <c:f>'ID20'!$R$13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{B9F8A556-95FF-4E22-8FEF-8EEDBB4848EA}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{E6F50E87-716A-4D6C-B323-CFB635EDAB11}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{3C20D0B4-1FA5-4051-AE78-629DA467451B}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{4CBBEB1D-9FAD-49B7-9F1D-80CF455B6DC6}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{B80F6F52-7A59-4DDE-8961-17401AC0EA70}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{0D23E922-AFC9-4949-87BE-7D20A5F5E6CF}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{8DDBE409-05C2-4E96-A76A-08389EB78919}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{E829E188-789C-4006-B3E1-DDCCE40ECB86}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{9CA4164D-3C79-44E1-AAF1-323723211B1B}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{087E7525-50C6-4AD2-A6F5-B1089A0C8F23}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{39171A47-57AD-484B-A37B-2EFB485D5047}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{ABD175D7-3037-45DA-9440-9B6CDA1A09FA}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{2A553E04-2B4E-44F3-B48A-C47D8D01838C}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{D86A11CC-CF40-437C-BC20-AEE5AD64600B}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{15ECA356-2455-46A7-9F9C-973B27C53BDE}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{707CFFA1-02B6-4FE3-BEED-EEE09FECBE53}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{9AD2B0D5-3E27-4536-932E-ED851BE87E50}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{FD5F83BB-C994-4662-AB95-D697BDEEAA26}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{738CD50B-8147-4A54-BA0C-DA034B25FD62}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{468D9E47-BE54-423D-94F4-EC25A29E0E08}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{FFCF447F-0E44-40EB-9F5B-C01335EC3D54}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{CD687727-30EA-48A1-8279-9F0163A84BB3}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{FFF783C6-B72E-44D9-B8F3-1F35A5ADE624}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{BD02E5F7-5E9B-4980-88A2-2A1D4C581B58}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{218794B6-0E17-470C-B1B3-7EABC6B96C05}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{3FEF77C8-E0FD-4732-B2E7-2304730117C5}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{9A3843E8-24C8-4BF0-861E-56C08FF80B1B}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{4639AC31-011D-42C1-8E0F-8A48F670078C}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0.05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-7.0000000000000007E-2</c:v>
                </c:pt>
                <c:pt idx="21">
                  <c:v>0.15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D22-49DC-96A9-6E454579C56D}"/>
            </c:ext>
          </c:extLst>
        </c:ser>
        <c:ser>
          <c:idx val="4"/>
          <c:order val="3"/>
          <c:tx>
            <c:strRef>
              <c:f>'ID20'!$S$13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{9598D622-D4B7-41B8-8637-8146E88A9CA4}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{C6CB4A1D-81F9-4693-830A-7869EA52A095}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{F8D285BA-090C-4409-BB84-F19037BDEE43}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{B8E2F488-5714-435C-A77B-F019BAF09D2C}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{050CD9B6-68A8-45A1-B07D-7118EE25E492}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{BA24E1B5-6B47-4ADF-A3DF-0CAB6DD14AB4}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{4F0C0F79-2E79-483F-8616-88DF96E70FFE}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{DA9B8E8D-6772-459C-BD77-FF3D98791614}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{E64ACC1A-16EA-4FE6-9C48-AF15B6E82B85}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{7126620E-86D4-413D-9B3E-6204E2E47743}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{B6667360-6BB9-4A6C-B653-B81EBC6F0809}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{38AE94C9-0D7F-4B18-8A61-02A3F69F9DDA}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{607C8760-C12E-4914-A29E-995F9CB5F423}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{49AB9C38-01A5-4739-9B26-02192D1456FB}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{B02523F4-7CFB-465B-A021-F927DDC78168}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{2D5535D3-2633-437E-B8B8-8220A9207473}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{11F524FC-D14E-4D5F-B8EF-6C9627966AEE}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{A20B66C0-1680-4EF1-9E11-E0211C3C9C2E}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{1308422A-ADEC-404A-AA4C-C0A92F1A7397}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{CE871D4F-F011-4350-9447-2C5DCA41BB2E}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{B1F29002-2660-4763-AE2E-2784EE7A6684}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{966CF48D-31F7-40FC-8648-591459ECC597}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{C0B4BE0E-29DC-4BE8-BA1A-481977209FAC}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{16CBFD2A-C872-4C8C-A3A5-2B9A1FE235DD}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{894D166C-D0ED-459F-9288-539EAA4A1E69}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{FFC9F0CF-3993-468D-95CD-8039B31F4F8A}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{B594CAD7-9C47-4938-B17E-DECDB95D2809}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{4BA66840-4CFF-4374-B2B2-D1956035C12D}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-0.02</c:v>
                </c:pt>
                <c:pt idx="8">
                  <c:v>0.08</c:v>
                </c:pt>
                <c:pt idx="9">
                  <c:v>-0.13</c:v>
                </c:pt>
                <c:pt idx="10">
                  <c:v>#N/A</c:v>
                </c:pt>
                <c:pt idx="11">
                  <c:v>#N/A</c:v>
                </c:pt>
                <c:pt idx="12">
                  <c:v>0.34</c:v>
                </c:pt>
                <c:pt idx="13">
                  <c:v>0.48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0.55000000000000004</c:v>
                </c:pt>
                <c:pt idx="20">
                  <c:v>#N/A</c:v>
                </c:pt>
                <c:pt idx="21">
                  <c:v>#N/A</c:v>
                </c:pt>
                <c:pt idx="22">
                  <c:v>0.47</c:v>
                </c:pt>
                <c:pt idx="23">
                  <c:v>#N/A</c:v>
                </c:pt>
                <c:pt idx="24">
                  <c:v>0.39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0D22-49DC-96A9-6E454579C56D}"/>
            </c:ext>
          </c:extLst>
        </c:ser>
        <c:ser>
          <c:idx val="5"/>
          <c:order val="4"/>
          <c:tx>
            <c:strRef>
              <c:f>'ID20'!$T$13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{F5F42594-2CC2-4F56-9BEC-C9716A7CFD2D}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{C90F9EA4-D333-41C8-83B3-FBC242ADE798}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{163EB87D-68B9-4064-A108-7E29A10EB79C}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{D014F644-0419-467B-828E-E2835D31044D}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{B94936F0-BF8C-48DE-A92C-22D851C31EBA}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{59F71D78-9F8A-421D-ABB8-E14FDFBA3308}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{085BF093-13F7-426E-9589-112674C1B52C}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{10B567A0-ED81-4AB4-BF1C-31566AFF6CE1}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{8968FA0B-DD1E-4C01-8A1F-4C5DFBC7A025}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{31936CEF-FB38-4777-BCAF-4669A74898CB}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{6FBC96BD-D43B-4860-AB72-38DF89C80818}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{779E2CD6-3DFD-4F92-9C2A-A26BED50DF99}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{51A760EC-E59E-4872-877A-E029FC1A0BDF}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{32DACC13-1C10-4E1F-840A-F8D7FE0CB679}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{CFA673D0-AA5A-4F56-A463-AB73B03CFB60}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{E0803F8F-F797-49CE-8ED5-61D025969B99}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{B118EE4B-10A1-45C6-B372-C4D4EFA4B583}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{B7E439E9-37F4-4D52-AB7B-0D188E844ED3}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{4076E122-5663-4CF5-8E03-EEC1E9A849FC}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{1C6AD37C-4EB9-4713-8848-C952FB55ACE1}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{030123AE-B275-45FB-96E8-F5351452E895}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{0342D20F-60E5-469F-8144-37068BEC65B4}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{3B634FF7-3138-4CE7-8CA7-B428CAAFBFF3}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{3EDF4613-6B9C-4A95-932A-335B49E63C2C}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{E2512FBE-9623-4BCC-A635-B3F18F0A4275}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{DF710957-EBE8-4A10-9E21-3002FD0AB370}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{A09BCE0F-691C-426E-9347-9DEA0567DBA2}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{F0A51EA8-5E73-46D0-84DF-2B7803BE22A2}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-7.0000000000000007E-2</c:v>
                </c:pt>
                <c:pt idx="17">
                  <c:v>#N/A</c:v>
                </c:pt>
                <c:pt idx="18">
                  <c:v>-0.13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-0.17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D22-49DC-96A9-6E454579C56D}"/>
            </c:ext>
          </c:extLst>
        </c:ser>
        <c:ser>
          <c:idx val="0"/>
          <c:order val="5"/>
          <c:tx>
            <c:strRef>
              <c:f>'ID20'!$U$13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{B924EAA1-8E3E-4443-9602-A51602B86663}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{43069042-5F09-477A-AF9F-97E711B0AF13}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{FA203481-D809-4BAA-8538-D5BE5A5C22A3}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{432E94BB-93BC-4130-BB42-D855DB9D0233}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{8750145A-8E57-4C4F-8B5E-4304B12021B0}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{917DFF47-AEC6-4F8E-92CD-F9BF187F76C5}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{A9F64675-94A7-49BE-9041-F823CC49D528}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{BD56261A-33A9-426F-9237-E5109CC81C27}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{EDB9BC6B-4E4C-4556-926E-010E83D0A069}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{14E9E380-0213-4C84-B7AE-0854D664133A}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{751F1B59-C3E3-46F6-AE4E-154C70CA5AC2}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{469787CF-03F5-49FD-8072-026AAD53A85F}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{411F13E0-6147-4044-B423-F0F337D3D1BE}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{E1182C37-F097-4224-AD61-F68A9A2EC0B4}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{CC4F7FF0-39C4-4227-9200-74251DF93A93}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{E4CB6DDE-382B-4282-8C1D-F017A437C0C7}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{1AC7583A-2498-4727-A4E4-27985F88762D}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{DCCEC044-5BFF-4FEB-8108-BE530F2182ED}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{8281E2DA-9742-4485-A139-541B7E15BAE3}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{3EC657EE-E44D-4192-BBC1-99DF1104CC0C}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{BBDBAFB0-06A4-4548-9FE9-F2F451E6412F}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{9316360F-21AA-4D46-96E2-87692F946467}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{5B0CE794-5496-4ED5-8B55-5F46AF42C318}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{38D70717-C97E-4BC6-A9DB-5B974E203BBA}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{C521FB34-7574-41F7-80F5-3FAD84483B2A}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{58FC5A1B-20C9-45B8-A1CE-9522CDC8E7C1}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{8E8E341F-2540-4E4D-A26E-17FE6766F16F}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{AD3DAC85-96E3-499F-807D-8950240E52F9}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'ID20'!$U$14:$U$40</c:f>
              <c:numCache>
                <c:formatCode>General</c:formatCode>
                <c:ptCount val="27"/>
                <c:pt idx="0">
                  <c:v>0.03</c:v>
                </c:pt>
                <c:pt idx="1">
                  <c:v>#N/A</c:v>
                </c:pt>
                <c:pt idx="2">
                  <c:v>#N/A</c:v>
                </c:pt>
                <c:pt idx="3">
                  <c:v>-0.01</c:v>
                </c:pt>
                <c:pt idx="4">
                  <c:v>#N/A</c:v>
                </c:pt>
                <c:pt idx="5">
                  <c:v>0.06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D22-49DC-96A9-6E454579C56D}"/>
            </c:ext>
          </c:extLst>
        </c:ser>
        <c:ser>
          <c:idx val="6"/>
          <c:order val="6"/>
          <c:tx>
            <c:strRef>
              <c:f>'ID20'!$V$13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{A79B7236-E659-474A-9530-16C64AE7C579}</c15:txfldGUID>
                      <c15:f>'ID20'!$N$14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0D22-49DC-96A9-6E454579C56D}"/>
                </c:ext>
              </c:extLst>
            </c:dLbl>
            <c:dLbl>
              <c:idx val="1"/>
              <c:tx>
                <c:strRef>
                  <c:f>'ID20'!$N$15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{3BA21F69-5486-4769-A437-50611E568CD1}</c15:txfldGUID>
                      <c15:f>'ID20'!$N$15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0D22-49DC-96A9-6E454579C56D}"/>
                </c:ext>
              </c:extLst>
            </c:dLbl>
            <c:dLbl>
              <c:idx val="2"/>
              <c:tx>
                <c:strRef>
                  <c:f>'ID20'!$N$16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{91DC527F-7DD2-4C4F-A78A-AF1D99FEDF75}</c15:txfldGUID>
                      <c15:f>'ID20'!$N$16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0D22-49DC-96A9-6E454579C56D}"/>
                </c:ext>
              </c:extLst>
            </c:dLbl>
            <c:dLbl>
              <c:idx val="3"/>
              <c:tx>
                <c:strRef>
                  <c:f>'ID20'!$N$17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{3C78A150-583D-4130-BF06-B2CAA28E6CC5}</c15:txfldGUID>
                      <c15:f>'ID20'!$N$17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0D22-49DC-96A9-6E454579C56D}"/>
                </c:ext>
              </c:extLst>
            </c:dLbl>
            <c:dLbl>
              <c:idx val="4"/>
              <c:tx>
                <c:strRef>
                  <c:f>'ID20'!$N$18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{58382164-432B-4265-8E1D-2A36E088294D}</c15:txfldGUID>
                      <c15:f>'ID20'!$N$18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0D22-49DC-96A9-6E454579C56D}"/>
                </c:ext>
              </c:extLst>
            </c:dLbl>
            <c:dLbl>
              <c:idx val="5"/>
              <c:tx>
                <c:strRef>
                  <c:f>'ID20'!$N$19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{168D4728-C526-492A-B3A3-A4173619C70E}</c15:txfldGUID>
                      <c15:f>'ID20'!$N$19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0D22-49DC-96A9-6E454579C56D}"/>
                </c:ext>
              </c:extLst>
            </c:dLbl>
            <c:dLbl>
              <c:idx val="6"/>
              <c:tx>
                <c:strRef>
                  <c:f>'ID20'!$N$20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{8FFCA986-6ED9-4D44-803B-5F3941C98862}</c15:txfldGUID>
                      <c15:f>'ID20'!$N$20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0D22-49DC-96A9-6E454579C56D}"/>
                </c:ext>
              </c:extLst>
            </c:dLbl>
            <c:dLbl>
              <c:idx val="7"/>
              <c:tx>
                <c:strRef>
                  <c:f>'ID20'!$N$21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{C87DC6A0-24F4-4A4B-AE11-4B7FD8599F0C}</c15:txfldGUID>
                      <c15:f>'ID20'!$N$21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0D22-49DC-96A9-6E454579C56D}"/>
                </c:ext>
              </c:extLst>
            </c:dLbl>
            <c:dLbl>
              <c:idx val="8"/>
              <c:tx>
                <c:strRef>
                  <c:f>'ID20'!$N$22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{3EDF5324-62C5-4234-90EC-A6F88F4DB83B}</c15:txfldGUID>
                      <c15:f>'ID20'!$N$22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0D22-49DC-96A9-6E454579C56D}"/>
                </c:ext>
              </c:extLst>
            </c:dLbl>
            <c:dLbl>
              <c:idx val="9"/>
              <c:tx>
                <c:strRef>
                  <c:f>'ID20'!$N$23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{B28DD4AD-10CF-4357-860B-709F658E51FB}</c15:txfldGUID>
                      <c15:f>'ID20'!$N$23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0D22-49DC-96A9-6E454579C56D}"/>
                </c:ext>
              </c:extLst>
            </c:dLbl>
            <c:dLbl>
              <c:idx val="10"/>
              <c:tx>
                <c:strRef>
                  <c:f>'ID20'!$N$24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{633E83A4-E83C-4A62-953C-D029DF8E16D3}</c15:txfldGUID>
                      <c15:f>'ID20'!$N$24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0D22-49DC-96A9-6E454579C56D}"/>
                </c:ext>
              </c:extLst>
            </c:dLbl>
            <c:dLbl>
              <c:idx val="11"/>
              <c:tx>
                <c:strRef>
                  <c:f>'ID20'!$N$25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{8F71E6B3-B455-453A-B873-FA6BE067B957}</c15:txfldGUID>
                      <c15:f>'ID20'!$N$25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0D22-49DC-96A9-6E454579C56D}"/>
                </c:ext>
              </c:extLst>
            </c:dLbl>
            <c:dLbl>
              <c:idx val="12"/>
              <c:tx>
                <c:strRef>
                  <c:f>'ID20'!$N$26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{576A5BE3-D93D-4757-B0F1-E5B0A8B242EC}</c15:txfldGUID>
                      <c15:f>'ID20'!$N$26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0D22-49DC-96A9-6E454579C56D}"/>
                </c:ext>
              </c:extLst>
            </c:dLbl>
            <c:dLbl>
              <c:idx val="13"/>
              <c:tx>
                <c:strRef>
                  <c:f>'ID20'!$N$27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{DB49D933-7326-4D48-A25F-252AF8017A91}</c15:txfldGUID>
                      <c15:f>'ID20'!$N$27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0D22-49DC-96A9-6E454579C56D}"/>
                </c:ext>
              </c:extLst>
            </c:dLbl>
            <c:dLbl>
              <c:idx val="14"/>
              <c:tx>
                <c:strRef>
                  <c:f>'ID20'!$N$28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{38C222F8-9F94-4C45-8DA0-69E8FE53D536}</c15:txfldGUID>
                      <c15:f>'ID20'!$N$28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0D22-49DC-96A9-6E454579C56D}"/>
                </c:ext>
              </c:extLst>
            </c:dLbl>
            <c:dLbl>
              <c:idx val="15"/>
              <c:tx>
                <c:strRef>
                  <c:f>'ID20'!$N$29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{D6E94CEC-7AC5-43BA-9094-76051837D6A9}</c15:txfldGUID>
                      <c15:f>'ID20'!$N$29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0D22-49DC-96A9-6E454579C56D}"/>
                </c:ext>
              </c:extLst>
            </c:dLbl>
            <c:dLbl>
              <c:idx val="16"/>
              <c:tx>
                <c:strRef>
                  <c:f>'ID20'!$N$30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{F16090B8-3705-44C2-9584-5C06462A4102}</c15:txfldGUID>
                      <c15:f>'ID20'!$N$30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0D22-49DC-96A9-6E454579C56D}"/>
                </c:ext>
              </c:extLst>
            </c:dLbl>
            <c:dLbl>
              <c:idx val="17"/>
              <c:tx>
                <c:strRef>
                  <c:f>'ID20'!$N$31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{9E2B88CF-8D8D-4C8F-81EA-7A5A3B6E8CE3}</c15:txfldGUID>
                      <c15:f>'ID20'!$N$31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0D22-49DC-96A9-6E454579C56D}"/>
                </c:ext>
              </c:extLst>
            </c:dLbl>
            <c:dLbl>
              <c:idx val="18"/>
              <c:tx>
                <c:strRef>
                  <c:f>'ID20'!$N$32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{00E63B3F-83B7-4182-8640-AFAE9E5C1FEA}</c15:txfldGUID>
                      <c15:f>'ID20'!$N$32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0D22-49DC-96A9-6E454579C56D}"/>
                </c:ext>
              </c:extLst>
            </c:dLbl>
            <c:dLbl>
              <c:idx val="19"/>
              <c:tx>
                <c:strRef>
                  <c:f>'ID20'!$N$33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{E73C15CF-2B01-4EF4-BE43-F764FF08D28F}</c15:txfldGUID>
                      <c15:f>'ID20'!$N$33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0D22-49DC-96A9-6E454579C56D}"/>
                </c:ext>
              </c:extLst>
            </c:dLbl>
            <c:dLbl>
              <c:idx val="20"/>
              <c:tx>
                <c:strRef>
                  <c:f>'ID20'!$N$34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{1B5C7BD6-E552-4E57-99F7-432570D9246A}</c15:txfldGUID>
                      <c15:f>'ID20'!$N$34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0D22-49DC-96A9-6E454579C56D}"/>
                </c:ext>
              </c:extLst>
            </c:dLbl>
            <c:dLbl>
              <c:idx val="21"/>
              <c:tx>
                <c:strRef>
                  <c:f>'ID20'!$N$35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{EF5F4D41-7DD1-4CB8-B6F7-09535EC22A8B}</c15:txfldGUID>
                      <c15:f>'ID20'!$N$35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0D22-49DC-96A9-6E454579C56D}"/>
                </c:ext>
              </c:extLst>
            </c:dLbl>
            <c:dLbl>
              <c:idx val="22"/>
              <c:tx>
                <c:strRef>
                  <c:f>'ID20'!$N$36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{0EBDC12C-850B-4DD8-87B3-4ED9FAE38006}</c15:txfldGUID>
                      <c15:f>'ID20'!$N$36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0D22-49DC-96A9-6E454579C56D}"/>
                </c:ext>
              </c:extLst>
            </c:dLbl>
            <c:dLbl>
              <c:idx val="23"/>
              <c:tx>
                <c:strRef>
                  <c:f>'ID20'!$N$37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{FEFCE159-A6AD-4ED6-BD0A-6E6F5D060985}</c15:txfldGUID>
                      <c15:f>'ID20'!$N$37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0D22-49DC-96A9-6E454579C56D}"/>
                </c:ext>
              </c:extLst>
            </c:dLbl>
            <c:dLbl>
              <c:idx val="24"/>
              <c:tx>
                <c:strRef>
                  <c:f>'ID20'!$N$38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{DCFAF994-25C9-4767-8DBF-DD0B047C9ADB}</c15:txfldGUID>
                      <c15:f>'ID20'!$N$38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0D22-49DC-96A9-6E454579C56D}"/>
                </c:ext>
              </c:extLst>
            </c:dLbl>
            <c:dLbl>
              <c:idx val="25"/>
              <c:tx>
                <c:strRef>
                  <c:f>'ID20'!$N$39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{650CA20D-D1D8-4CA2-8AA9-160BD17923AD}</c15:txfldGUID>
                      <c15:f>'ID20'!$N$39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0D22-49DC-96A9-6E454579C56D}"/>
                </c:ext>
              </c:extLst>
            </c:dLbl>
            <c:dLbl>
              <c:idx val="26"/>
              <c:tx>
                <c:strRef>
                  <c:f>'ID20'!$N$40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{D7DD055B-A095-4510-B8FA-EDE6476AF93F}</c15:txfldGUID>
                      <c15:f>'ID20'!$N$40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0D22-49DC-96A9-6E454579C56D}"/>
                </c:ext>
              </c:extLst>
            </c:dLbl>
            <c:dLbl>
              <c:idx val="27"/>
              <c:tx>
                <c:strRef>
                  <c:f>'ID20'!$N$41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{339B2467-A32D-453E-9F44-A918A091ECB4}</c15:txfldGUID>
                      <c15:f>'ID20'!$N$41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0D22-49DC-96A9-6E454579C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'ID20'!$O$14:$O$40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-0.69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-0.35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0D22-49DC-96A9-6E454579C56D}"/>
            </c:ext>
          </c:extLst>
        </c:ser>
        <c:ser>
          <c:idx val="7"/>
          <c:order val="7"/>
          <c:tx>
            <c:strRef>
              <c:f>'ID20'!$J$48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'ID20'!$K$48:$K$49</c:f>
              <c:numCache>
                <c:formatCode>0.0</c:formatCode>
                <c:ptCount val="2"/>
                <c:pt idx="0">
                  <c:v>3.34</c:v>
                </c:pt>
                <c:pt idx="1">
                  <c:v>6.61</c:v>
                </c:pt>
              </c:numCache>
            </c:numRef>
          </c:xVal>
          <c:yVal>
            <c:numRef>
              <c:f>'ID20'!$L$48:$L$49</c:f>
              <c:numCache>
                <c:formatCode>0.000</c:formatCode>
                <c:ptCount val="2"/>
                <c:pt idx="0" formatCode="General">
                  <c:v>6.3703703703703707E-2</c:v>
                </c:pt>
                <c:pt idx="1">
                  <c:v>6.3703703703703707E-2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0D22-49DC-96A9-6E454579C56D}"/>
            </c:ext>
          </c:extLst>
        </c:ser>
        <c:ser>
          <c:idx val="8"/>
          <c:order val="8"/>
          <c:tx>
            <c:strRef>
              <c:f>'ID20'!$J$51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'ID20'!$K$51:$K$52</c:f>
              <c:numCache>
                <c:formatCode>0.000</c:formatCode>
                <c:ptCount val="2"/>
                <c:pt idx="0">
                  <c:v>4.7144444444444451</c:v>
                </c:pt>
                <c:pt idx="1">
                  <c:v>4.7144444444444451</c:v>
                </c:pt>
              </c:numCache>
            </c:numRef>
          </c:xVal>
          <c:yVal>
            <c:numRef>
              <c:f>'ID20'!$L$51:$L$52</c:f>
              <c:numCache>
                <c:formatCode>0.0</c:formatCode>
                <c:ptCount val="2"/>
                <c:pt idx="0">
                  <c:v>-0.69</c:v>
                </c:pt>
                <c:pt idx="1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0D22-49DC-96A9-6E454579C56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'ID20'!$K$14:$K$40</c:f>
              <c:numCache>
                <c:formatCode>General</c:formatCode>
                <c:ptCount val="27"/>
                <c:pt idx="0">
                  <c:v>4.28</c:v>
                </c:pt>
                <c:pt idx="1">
                  <c:v>3.38</c:v>
                </c:pt>
                <c:pt idx="2">
                  <c:v>6.61</c:v>
                </c:pt>
                <c:pt idx="3">
                  <c:v>4.2699999999999996</c:v>
                </c:pt>
                <c:pt idx="4">
                  <c:v>3.42</c:v>
                </c:pt>
                <c:pt idx="5">
                  <c:v>4.4400000000000004</c:v>
                </c:pt>
                <c:pt idx="6">
                  <c:v>4.1500000000000004</c:v>
                </c:pt>
                <c:pt idx="7">
                  <c:v>5.37</c:v>
                </c:pt>
                <c:pt idx="8">
                  <c:v>5.28</c:v>
                </c:pt>
                <c:pt idx="9">
                  <c:v>5.5</c:v>
                </c:pt>
                <c:pt idx="10">
                  <c:v>3.78</c:v>
                </c:pt>
                <c:pt idx="11">
                  <c:v>4.63</c:v>
                </c:pt>
                <c:pt idx="12">
                  <c:v>4.91</c:v>
                </c:pt>
                <c:pt idx="13">
                  <c:v>4.47</c:v>
                </c:pt>
                <c:pt idx="14">
                  <c:v>3.86</c:v>
                </c:pt>
                <c:pt idx="15">
                  <c:v>5.27</c:v>
                </c:pt>
                <c:pt idx="16">
                  <c:v>6.32</c:v>
                </c:pt>
                <c:pt idx="17">
                  <c:v>4.79</c:v>
                </c:pt>
                <c:pt idx="18">
                  <c:v>6.2</c:v>
                </c:pt>
                <c:pt idx="19">
                  <c:v>5.3</c:v>
                </c:pt>
                <c:pt idx="20">
                  <c:v>3.87</c:v>
                </c:pt>
                <c:pt idx="21">
                  <c:v>4.0599999999999996</c:v>
                </c:pt>
                <c:pt idx="22">
                  <c:v>5.6</c:v>
                </c:pt>
                <c:pt idx="23">
                  <c:v>5.83</c:v>
                </c:pt>
                <c:pt idx="24">
                  <c:v>4.7300000000000004</c:v>
                </c:pt>
                <c:pt idx="25">
                  <c:v>3.34</c:v>
                </c:pt>
                <c:pt idx="26">
                  <c:v>3.63</c:v>
                </c:pt>
              </c:numCache>
            </c:numRef>
          </c:xVal>
          <c:yVal>
            <c:numRef>
              <c:f>'ID20'!$L$14:$L$40</c:f>
              <c:numCache>
                <c:formatCode>General</c:formatCode>
                <c:ptCount val="27"/>
                <c:pt idx="0">
                  <c:v>0.03</c:v>
                </c:pt>
                <c:pt idx="1">
                  <c:v>-0.18</c:v>
                </c:pt>
                <c:pt idx="2">
                  <c:v>-0.69</c:v>
                </c:pt>
                <c:pt idx="3">
                  <c:v>-0.01</c:v>
                </c:pt>
                <c:pt idx="4">
                  <c:v>-0.06</c:v>
                </c:pt>
                <c:pt idx="5">
                  <c:v>0.06</c:v>
                </c:pt>
                <c:pt idx="6">
                  <c:v>0.12</c:v>
                </c:pt>
                <c:pt idx="7">
                  <c:v>-0.02</c:v>
                </c:pt>
                <c:pt idx="8">
                  <c:v>0.08</c:v>
                </c:pt>
                <c:pt idx="9">
                  <c:v>-0.13</c:v>
                </c:pt>
                <c:pt idx="10">
                  <c:v>0.03</c:v>
                </c:pt>
                <c:pt idx="11">
                  <c:v>0.03</c:v>
                </c:pt>
                <c:pt idx="12">
                  <c:v>0.34</c:v>
                </c:pt>
                <c:pt idx="13">
                  <c:v>0.48</c:v>
                </c:pt>
                <c:pt idx="14">
                  <c:v>0.05</c:v>
                </c:pt>
                <c:pt idx="15">
                  <c:v>-0.35</c:v>
                </c:pt>
                <c:pt idx="16">
                  <c:v>-7.0000000000000007E-2</c:v>
                </c:pt>
                <c:pt idx="17">
                  <c:v>0.25</c:v>
                </c:pt>
                <c:pt idx="18">
                  <c:v>-0.13</c:v>
                </c:pt>
                <c:pt idx="19">
                  <c:v>0.55000000000000004</c:v>
                </c:pt>
                <c:pt idx="20">
                  <c:v>-7.0000000000000007E-2</c:v>
                </c:pt>
                <c:pt idx="21">
                  <c:v>0.15</c:v>
                </c:pt>
                <c:pt idx="22">
                  <c:v>0.47</c:v>
                </c:pt>
                <c:pt idx="23">
                  <c:v>-0.17</c:v>
                </c:pt>
                <c:pt idx="24">
                  <c:v>0.39</c:v>
                </c:pt>
                <c:pt idx="25">
                  <c:v>0.06</c:v>
                </c:pt>
                <c:pt idx="26">
                  <c:v>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0D22-49DC-96A9-6E454579C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'ID20'!$K$5</c:f>
              <c:strCache>
                <c:ptCount val="1"/>
                <c:pt idx="0">
                  <c:v>Income quintile ratio (S80/S20)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'ID20'!$K$9</c:f>
              <c:strCache>
                <c:ptCount val="1"/>
                <c:pt idx="0">
                  <c:v>Income quintile ratio (S80/S20)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'ID22'!$P$13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{B6BC7E78-CB61-4B74-BEA9-8170215451F2}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{5D720475-A80A-44DB-B105-4FB5C645DC2F}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{B2861776-5D43-4CD7-BC87-52E99CB2B855}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{5B2A963C-E867-4C81-99C2-52DA8373B9D1}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{2B15C00C-2672-409F-9A95-BE2835305D47}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{A2D9B1C4-E98A-4443-A96A-AFC1F73F56E9}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{9BB341A1-29C4-409F-B50A-CF1BBE0D3AAA}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{A0891061-1B70-4658-A70D-4120C2C2C0BC}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{85E641AA-C952-45BF-8CDA-65D724FFADA6}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{CCE1F152-3265-4E06-B49D-3F954CBDB0C0}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{8B3236F8-623E-4F61-A643-63AE7FF560FE}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{B7748BD4-D572-43BA-82BC-149D3E4E8F6C}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{B48E1870-0595-4B26-B2E6-BCA129BC730E}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{7976E2A7-1C1D-4792-A3AF-BD03E2C45959}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{3442B775-90F5-4E50-9B0C-330E1F2DE6A9}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{3A7A5D95-367F-4B1E-AF11-0524B4623AFD}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{514577C9-27A7-4904-BFCA-FD224C34004E}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{F0A5DC73-2DB5-460C-BFAE-998BF11DC623}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{8678D6DF-7576-4ED1-B322-0097762D5F0A}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{85AC967B-CB81-43AD-BE78-459F7A761359}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{BEE0A8BC-0A3A-47F3-8476-E51DDBD39918}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{CBD151FF-2A01-4CC0-85C2-EA5EE995CA93}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{2B780041-A6AF-445B-9BEA-657F5EF743E2}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{D968D0CB-E717-4398-A0C6-F7D59F83BE45}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{0AD4BAEC-CF87-4DAA-A1B5-BD3EAC1FD191}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{15267A62-4D01-44F9-9615-EC0ECBAE28F3}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{1735DACC-731E-4A8F-98C2-22BA68D997C6}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{078A7136-C9C9-4575-BCFD-5C61AAF4E8D6}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-0.3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D27-4F93-AFF1-4911DECB8E67}"/>
            </c:ext>
          </c:extLst>
        </c:ser>
        <c:ser>
          <c:idx val="2"/>
          <c:order val="1"/>
          <c:tx>
            <c:strRef>
              <c:f>'ID22'!$Q$13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{179F0EAD-5813-4BCD-A896-020854D214A0}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{08B70225-C931-405D-A7DB-831D17EA2572}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{A34414C6-48C4-4326-A17D-48CF1D6243D8}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{34CCBDA2-DF58-4BDC-8B13-35AACBD5CF01}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{997DF5C5-DA23-447E-87F8-1EE9A06CBE90}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{C4479A42-C7A4-4D3A-819B-55B31FABC01F}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{1E6E2598-8F9B-4D37-ABA6-46B761A9E27D}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{88C469A1-1AE4-4441-8FF8-2D143262FB2B}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{A8F782FF-7EA3-4D2B-9EFF-F07C26BC9A9A}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{8B1C8332-D020-44D3-990C-E99D6DECB8E5}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{948B1971-4E2D-4204-8CD7-A7218937A392}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{1B9EE60B-9798-4BCF-94D3-A58C7F3D8A72}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{0C0A3CC7-93AE-4F07-9BBA-B4791981CCDE}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{35FBCF69-1435-4C5A-9349-8E39A2D96566}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{1BBEC4B0-F883-4B31-AA9B-D5B26577D824}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{30E5DD6E-5AFA-4BFC-8C03-38CC017E10F2}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{61E1CAB0-EF68-4F18-B7BA-5DABE8AB5EF8}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{CC28C34F-C231-4B58-BAF1-B4A8EA89E8B2}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{D38449DD-5D6C-403D-A085-2F45347E9E0D}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{3AD76123-52CC-4799-9C56-BCF6F025C2AC}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{6A935797-A720-4AD8-89A1-99C3F5E55F26}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{9A317C2A-11FF-491D-BE21-E3EA9B479F26}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{C0D4F869-DA3F-468B-A583-2C0EBEC42053}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{0EE4B442-6C8B-4B3C-A796-566413C4790F}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{73433E5A-140E-4B06-9A3B-25CE44D8DD5C}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{5573344C-DFB4-4A3B-9130-6A5906A68682}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{622A9484-987B-4AAC-A2B6-56AC4DC039E6}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{99C127ED-CEA7-47F0-9E94-6E5D23EDBF64}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</c:v>
                </c:pt>
                <c:pt idx="5">
                  <c:v>#N/A</c:v>
                </c:pt>
                <c:pt idx="6">
                  <c:v>#N/A</c:v>
                </c:pt>
                <c:pt idx="7">
                  <c:v>0.2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0.6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D27-4F93-AFF1-4911DECB8E67}"/>
            </c:ext>
          </c:extLst>
        </c:ser>
        <c:ser>
          <c:idx val="3"/>
          <c:order val="2"/>
          <c:tx>
            <c:strRef>
              <c:f>'ID22'!$R$13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{167C8FB0-454D-46FC-B84D-0FA504BF470D}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{14B4B129-9C85-4387-9E8C-8F67CC62D86A}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{D05F81DB-7B31-47F4-9362-FDF698523A04}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{882CE890-AFEC-4745-B7F4-C2A4DCF7D288}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{00359A7E-0633-4664-8EA9-95AFAEDF13C8}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{011CB21A-B6F7-40B9-8D83-DDF2CCDA3F54}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{45219D49-6B49-4A28-B8E8-3D74A2F268BB}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{3815AC75-97BC-438F-B64C-B00F632BBDD9}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{D2EF8B67-005F-4851-AE74-5C4483D2C145}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{A21BC1B0-BE6B-4EEA-B9B3-32D447D341B5}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{88A4A88D-50F7-442E-A55B-DD2F3D0685DD}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{F40C810C-A013-480D-8485-B43AE3188016}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{D210227C-68D5-4B81-864B-64344B8C613B}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{87AE2B1A-E699-470D-9F9F-43B567AB74A2}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{765F9C54-C795-40EB-89A0-E714D4905AB6}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{70710ADF-C0E4-4B27-9AAD-DBB54FB50BEE}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{F27E3A3A-2EDE-4C4C-9E03-122F72C03473}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{64F7F6B3-90D6-426F-BB7C-20FF7B641128}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{6E298DF1-E17C-4E3C-8B94-91AABAF0F359}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{AB47BB27-C5F6-4E8C-812A-D1DE2382E04A}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{2450804B-D13A-4D34-A737-1035E3A50763}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{CEAD1FF8-889D-4A5C-BC01-3149D8997921}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{5C2BCE67-B48D-46DA-9A7F-5407ECDA1AED}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{2A006AF8-46BA-4D94-B092-2BDE70FDD994}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{B3828763-B58B-4828-9789-F7AE789BF4C0}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{A3868115-CDA8-4996-BD7B-F6CFA14717CC}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{69988DE6-5F45-4990-A180-E5145B54860A}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{41899925-661F-482F-9F51-7C356DE5ABEC}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1.6</c:v>
                </c:pt>
                <c:pt idx="4">
                  <c:v>#N/A</c:v>
                </c:pt>
                <c:pt idx="5">
                  <c:v>0.5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1.2</c:v>
                </c:pt>
                <c:pt idx="20">
                  <c:v>#N/A</c:v>
                </c:pt>
                <c:pt idx="21">
                  <c:v>1.2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D27-4F93-AFF1-4911DECB8E67}"/>
            </c:ext>
          </c:extLst>
        </c:ser>
        <c:ser>
          <c:idx val="4"/>
          <c:order val="3"/>
          <c:tx>
            <c:strRef>
              <c:f>'ID22'!$S$13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{6A4A2DAB-26F9-4BAB-9193-D32043490AD4}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{575C6DAC-BA37-4BC6-B329-9BC577F0B0E4}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{6DEF1DB3-9E6D-4E40-A387-6B61629899B5}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{D4E166B2-C7C7-45C3-8133-C624A0D967A8}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{7A601B17-D3A0-4979-B9D3-DF92192C9488}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{5713F6E8-3116-4AD1-B0B0-C9F06DAD3C10}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{20D7CB90-0973-4C2C-BC37-C5DC81DB687F}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{BD39B327-C7B3-4A4A-AA20-EDFA6D794A31}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{19486FE1-677E-437C-9FA5-9313E5577452}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{1494E17D-5D64-4E3B-8C6B-6B5E83ADDBC2}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{078A4CED-71A2-418A-861C-ADEE444068B0}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{D708D22C-9F1D-44EA-A3F3-3AB26D049F35}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{AA289A78-272C-4DA6-B04C-8188EF36072D}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{6F8ED261-5073-4F50-B579-29C2535BF105}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{3E6C8CE9-F692-4A05-9D4F-B2360F6D3368}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{9FEE9A73-29BF-4DB8-87C7-C251B238E1D9}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{10849F1A-0A74-421E-88BC-B057BF503A60}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{0C41319F-3336-473F-B09B-540276F065F6}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{778CB151-5A74-4569-8739-753C8A06BDC3}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{06A60F3C-22B0-4681-AC04-271E950F74E4}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{66AE4A99-0B2A-4C9D-B246-AC053962DAA4}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{0A70DC93-7272-46CE-973F-4FBC19318A91}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{D61B8520-2D37-4136-BCD1-C9FAE869C0A3}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{76014735-FDBB-4447-B6A4-CFEC3E69E1E0}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{3919A319-830A-4014-BBA7-B1F6D2220C2A}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{F99B1B73-C3C2-4A34-9792-4EF102FD673E}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{DB3BBE6D-5998-477B-891D-D3243626C9D5}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{66BEA0BB-A99F-4A75-A69B-55941A034B82}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'ID22'!$S$14:$S$40</c:f>
              <c:numCache>
                <c:formatCode>General</c:formatCode>
                <c:ptCount val="27"/>
                <c:pt idx="0">
                  <c:v>-0.1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-0.2</c:v>
                </c:pt>
                <c:pt idx="11">
                  <c:v>0.4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-0.5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3D27-4F93-AFF1-4911DECB8E67}"/>
            </c:ext>
          </c:extLst>
        </c:ser>
        <c:ser>
          <c:idx val="5"/>
          <c:order val="4"/>
          <c:tx>
            <c:strRef>
              <c:f>'ID22'!$T$13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{67191DFB-416D-4540-B1A2-A45E8F3F3B54}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{6FA98578-DFAB-4403-81B9-BC6F8A307D98}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{069CD8B5-9ABF-4417-9EBB-D64CF14173B8}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{72AA192D-501D-47B2-9E5C-0DBC2BC75B71}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{23CF6326-536A-4F6A-8080-382A66CAFC77}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{B2672B83-8F04-4069-A32A-8A5632AE864F}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{BA25ED98-7C19-466D-98CC-ABD0FA7E7EEC}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{2925883F-76B7-4214-82D8-DFAF0BA76F8B}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{7007255F-0786-4D4A-B3DF-632201E14FE5}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{CCAE8E52-F455-4CE8-89E4-F1A1A506B89B}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{BDD67B8D-B72C-4D07-B6F7-D5B60C75901F}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{68ED9B70-719E-4337-A08C-CA0A17FB6C0D}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{51652894-5C34-4C36-8435-FBF92B73129A}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{CDF90BCC-CEFC-4CDD-86E6-47BB25D97B59}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{5203C2D8-E682-498A-B7F3-4E8B05600272}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{F5E0001E-9719-4927-9CCB-29FB9C029115}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{F2D3A914-5F09-4993-9351-86FC933F8937}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{3BDB7535-E889-4651-BE42-594E57101915}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{EDBC5379-9C59-4A29-A675-41F0E2F03597}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{72A6AD78-F727-4BC0-A6E3-A595617C8424}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{F9C06314-022A-4BF7-8AB4-42748C79EE96}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{6A57A771-C445-4172-93FB-E41F8607D7E3}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{CCDCCF45-72BB-4DEC-A17C-BD8896D6E1AE}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{EA2B7952-AF2B-440E-BECC-7CF8E9C17644}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{16B5DB9F-D90A-4B0D-A439-C61825A1870C}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{4EA0DCEE-0580-4CA5-BF4E-F1E96F1C8B2E}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{A8836E2A-E4B4-4B85-BB16-7037665C7301}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{C2D68421-15D1-4907-8FDE-097DF90D4AAE}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0.2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3D27-4F93-AFF1-4911DECB8E67}"/>
            </c:ext>
          </c:extLst>
        </c:ser>
        <c:ser>
          <c:idx val="0"/>
          <c:order val="5"/>
          <c:tx>
            <c:strRef>
              <c:f>'ID22'!$U$13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{6AA6D368-9585-448C-9026-DC232B8DB1EE}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{B5CC35E7-45A7-4006-B4A4-591162156098}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{F4D5DBEC-53D0-4A8D-844B-E8C4A00888E4}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{4DF54DDA-67C0-4CF0-9355-E6FA8A0D4972}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{CC4F6DFA-6D00-4313-AA56-3A00447EA049}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{D353605D-ECC3-4D5C-A1CC-65A6E6A18AF2}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{3BCFE7F5-2E1F-4AC4-8DAD-664B061A225C}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{1EB2E65B-0A56-4958-BE73-680F2835AF52}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{B4DF8A10-CB94-44BE-9CFA-CA2209BF7058}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{43B508E7-6737-4F5D-BD5E-C318BF564B85}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{360CFF14-A1BA-42CB-BDAA-9534B2842018}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{3044A61C-419B-4C58-94D1-627D95B98D45}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{7E97DB59-D1AB-4536-8D01-3DF2B626F9D6}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{4816C7BC-F6E1-4102-9711-B8E4AF424923}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{A4A1545A-D3A6-44F2-BABF-048427769795}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{A716F8EA-062B-432C-A3DF-32EEDAC655C4}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{A3083A15-3B74-4D89-911E-98CFA50F3C44}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{4C402497-0341-4FD5-9ABD-FAC79FC99917}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{9D9B2D79-D83D-4551-84BC-402B91D38F19}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{4E6CF42A-4AEF-40A1-8421-A287883F73F5}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{F21E5211-FFE8-4EA3-AEBB-30D883B88995}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{4C0F18B8-18D3-4C7B-9CE5-226D2B18CEF9}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{E81AD184-3597-4A41-AE55-164AD8FCB648}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{2D134101-F16F-4A28-9298-1C523D59B383}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{BE58DAE8-0C19-4C23-BF1C-CFDA8948527C}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{C068106A-D367-4D24-8623-72E8D53D99B1}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{1870A3F3-AF8B-4527-8631-3B73CBBCA6F6}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{B607E865-E201-4E42-931E-7BA60AB6D995}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0.3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0.9</c:v>
                </c:pt>
                <c:pt idx="15">
                  <c:v>#N/A</c:v>
                </c:pt>
                <c:pt idx="16">
                  <c:v>#N/A</c:v>
                </c:pt>
                <c:pt idx="17">
                  <c:v>0</c:v>
                </c:pt>
                <c:pt idx="18">
                  <c:v>0.5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3D27-4F93-AFF1-4911DECB8E67}"/>
            </c:ext>
          </c:extLst>
        </c:ser>
        <c:ser>
          <c:idx val="6"/>
          <c:order val="6"/>
          <c:tx>
            <c:strRef>
              <c:f>'ID22'!$V$13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'ID22'!$N$14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{5224C727-A482-4FFD-8CB5-9A777AE95DE1}</c15:txfldGUID>
                      <c15:f>'ID22'!$N$14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3D27-4F93-AFF1-4911DECB8E67}"/>
                </c:ext>
              </c:extLst>
            </c:dLbl>
            <c:dLbl>
              <c:idx val="1"/>
              <c:tx>
                <c:strRef>
                  <c:f>'ID22'!$N$15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{4B55EF1A-FBB4-477F-BC4C-171E98AF1D52}</c15:txfldGUID>
                      <c15:f>'ID22'!$N$15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3D27-4F93-AFF1-4911DECB8E67}"/>
                </c:ext>
              </c:extLst>
            </c:dLbl>
            <c:dLbl>
              <c:idx val="2"/>
              <c:tx>
                <c:strRef>
                  <c:f>'ID22'!$N$16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{75DB8267-41EB-4628-8879-D67D1C83E702}</c15:txfldGUID>
                      <c15:f>'ID22'!$N$16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3D27-4F93-AFF1-4911DECB8E67}"/>
                </c:ext>
              </c:extLst>
            </c:dLbl>
            <c:dLbl>
              <c:idx val="3"/>
              <c:tx>
                <c:strRef>
                  <c:f>'ID22'!$N$17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{C4929604-D2FB-4366-B474-92D75C0CDEA0}</c15:txfldGUID>
                      <c15:f>'ID22'!$N$17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3D27-4F93-AFF1-4911DECB8E67}"/>
                </c:ext>
              </c:extLst>
            </c:dLbl>
            <c:dLbl>
              <c:idx val="4"/>
              <c:tx>
                <c:strRef>
                  <c:f>'ID22'!$N$18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{6988F754-4299-47F4-9245-02F0E0AF58C1}</c15:txfldGUID>
                      <c15:f>'ID22'!$N$18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3D27-4F93-AFF1-4911DECB8E67}"/>
                </c:ext>
              </c:extLst>
            </c:dLbl>
            <c:dLbl>
              <c:idx val="5"/>
              <c:tx>
                <c:strRef>
                  <c:f>'ID22'!$N$19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{B52AA46C-7B5F-4C3E-890F-4A86106ECB15}</c15:txfldGUID>
                      <c15:f>'ID22'!$N$19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3D27-4F93-AFF1-4911DECB8E67}"/>
                </c:ext>
              </c:extLst>
            </c:dLbl>
            <c:dLbl>
              <c:idx val="6"/>
              <c:tx>
                <c:strRef>
                  <c:f>'ID22'!$N$20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{CA8F2587-2F96-4BC3-BDAF-622C510DB75B}</c15:txfldGUID>
                      <c15:f>'ID22'!$N$20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3D27-4F93-AFF1-4911DECB8E67}"/>
                </c:ext>
              </c:extLst>
            </c:dLbl>
            <c:dLbl>
              <c:idx val="7"/>
              <c:tx>
                <c:strRef>
                  <c:f>'ID22'!$N$21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{3BA2245F-39A3-4FC3-832B-8ADCEE05A9AE}</c15:txfldGUID>
                      <c15:f>'ID22'!$N$21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3D27-4F93-AFF1-4911DECB8E67}"/>
                </c:ext>
              </c:extLst>
            </c:dLbl>
            <c:dLbl>
              <c:idx val="8"/>
              <c:tx>
                <c:strRef>
                  <c:f>'ID22'!$N$22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{61D48308-C235-4EE1-963B-5869114D56EF}</c15:txfldGUID>
                      <c15:f>'ID22'!$N$22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3D27-4F93-AFF1-4911DECB8E67}"/>
                </c:ext>
              </c:extLst>
            </c:dLbl>
            <c:dLbl>
              <c:idx val="9"/>
              <c:tx>
                <c:strRef>
                  <c:f>'ID22'!$N$23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{B1F3A4E3-5518-4C2A-AEA5-48D523F9A344}</c15:txfldGUID>
                      <c15:f>'ID22'!$N$23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3D27-4F93-AFF1-4911DECB8E67}"/>
                </c:ext>
              </c:extLst>
            </c:dLbl>
            <c:dLbl>
              <c:idx val="10"/>
              <c:tx>
                <c:strRef>
                  <c:f>'ID22'!$N$24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{1C430F66-E2F1-4B89-A920-5376C4895F0B}</c15:txfldGUID>
                      <c15:f>'ID22'!$N$24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3D27-4F93-AFF1-4911DECB8E67}"/>
                </c:ext>
              </c:extLst>
            </c:dLbl>
            <c:dLbl>
              <c:idx val="11"/>
              <c:tx>
                <c:strRef>
                  <c:f>'ID22'!$N$25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{5F66C560-1629-413E-B38F-6A49AA465CA6}</c15:txfldGUID>
                      <c15:f>'ID22'!$N$25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3D27-4F93-AFF1-4911DECB8E67}"/>
                </c:ext>
              </c:extLst>
            </c:dLbl>
            <c:dLbl>
              <c:idx val="12"/>
              <c:tx>
                <c:strRef>
                  <c:f>'ID22'!$N$26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{1525EE01-3D67-45A0-B038-4B0D13ADAA12}</c15:txfldGUID>
                      <c15:f>'ID22'!$N$26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3D27-4F93-AFF1-4911DECB8E67}"/>
                </c:ext>
              </c:extLst>
            </c:dLbl>
            <c:dLbl>
              <c:idx val="13"/>
              <c:tx>
                <c:strRef>
                  <c:f>'ID22'!$N$27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{79626D25-86F3-40E2-950D-818761C3E663}</c15:txfldGUID>
                      <c15:f>'ID22'!$N$27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3D27-4F93-AFF1-4911DECB8E67}"/>
                </c:ext>
              </c:extLst>
            </c:dLbl>
            <c:dLbl>
              <c:idx val="14"/>
              <c:tx>
                <c:strRef>
                  <c:f>'ID22'!$N$28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{8D7D89D4-7B4C-4AF1-95AA-859C6A096CE9}</c15:txfldGUID>
                      <c15:f>'ID22'!$N$28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3D27-4F93-AFF1-4911DECB8E67}"/>
                </c:ext>
              </c:extLst>
            </c:dLbl>
            <c:dLbl>
              <c:idx val="15"/>
              <c:tx>
                <c:strRef>
                  <c:f>'ID22'!$N$29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{2765F14E-3F3C-493F-AE57-658D2AE6E8D0}</c15:txfldGUID>
                      <c15:f>'ID22'!$N$29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3D27-4F93-AFF1-4911DECB8E67}"/>
                </c:ext>
              </c:extLst>
            </c:dLbl>
            <c:dLbl>
              <c:idx val="16"/>
              <c:tx>
                <c:strRef>
                  <c:f>'ID22'!$N$30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{B3C3DEBB-F543-4E4F-B71D-F1AF4572DFD8}</c15:txfldGUID>
                      <c15:f>'ID22'!$N$30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3D27-4F93-AFF1-4911DECB8E67}"/>
                </c:ext>
              </c:extLst>
            </c:dLbl>
            <c:dLbl>
              <c:idx val="17"/>
              <c:tx>
                <c:strRef>
                  <c:f>'ID22'!$N$31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{21808667-AF07-4554-8CCE-F5B6B067C1D6}</c15:txfldGUID>
                      <c15:f>'ID22'!$N$31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3D27-4F93-AFF1-4911DECB8E67}"/>
                </c:ext>
              </c:extLst>
            </c:dLbl>
            <c:dLbl>
              <c:idx val="18"/>
              <c:tx>
                <c:strRef>
                  <c:f>'ID22'!$N$32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{6F742A5A-D638-48E8-9984-C6517081ADD1}</c15:txfldGUID>
                      <c15:f>'ID22'!$N$32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3D27-4F93-AFF1-4911DECB8E67}"/>
                </c:ext>
              </c:extLst>
            </c:dLbl>
            <c:dLbl>
              <c:idx val="19"/>
              <c:tx>
                <c:strRef>
                  <c:f>'ID22'!$N$33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{1BC9D13D-0A88-4B47-A22F-F874AE4FBB55}</c15:txfldGUID>
                      <c15:f>'ID22'!$N$33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3D27-4F93-AFF1-4911DECB8E67}"/>
                </c:ext>
              </c:extLst>
            </c:dLbl>
            <c:dLbl>
              <c:idx val="20"/>
              <c:tx>
                <c:strRef>
                  <c:f>'ID22'!$N$34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{9C77DA2A-789F-4759-8D36-BD9FE1734A26}</c15:txfldGUID>
                      <c15:f>'ID22'!$N$34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3D27-4F93-AFF1-4911DECB8E67}"/>
                </c:ext>
              </c:extLst>
            </c:dLbl>
            <c:dLbl>
              <c:idx val="21"/>
              <c:tx>
                <c:strRef>
                  <c:f>'ID22'!$N$35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{9CB09B55-3928-40C8-AD4F-705F394C1FCE}</c15:txfldGUID>
                      <c15:f>'ID22'!$N$35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3D27-4F93-AFF1-4911DECB8E67}"/>
                </c:ext>
              </c:extLst>
            </c:dLbl>
            <c:dLbl>
              <c:idx val="22"/>
              <c:tx>
                <c:strRef>
                  <c:f>'ID22'!$N$36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{F0F379AF-85F7-4E3C-AACC-D088520AF992}</c15:txfldGUID>
                      <c15:f>'ID22'!$N$36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3D27-4F93-AFF1-4911DECB8E67}"/>
                </c:ext>
              </c:extLst>
            </c:dLbl>
            <c:dLbl>
              <c:idx val="23"/>
              <c:tx>
                <c:strRef>
                  <c:f>'ID22'!$N$37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{281C8095-236A-4248-81ED-69C339D0839C}</c15:txfldGUID>
                      <c15:f>'ID22'!$N$37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3D27-4F93-AFF1-4911DECB8E67}"/>
                </c:ext>
              </c:extLst>
            </c:dLbl>
            <c:dLbl>
              <c:idx val="24"/>
              <c:tx>
                <c:strRef>
                  <c:f>'ID22'!$N$38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{4153F687-C521-4C91-8B20-5EEC87A894B1}</c15:txfldGUID>
                      <c15:f>'ID22'!$N$38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3D27-4F93-AFF1-4911DECB8E67}"/>
                </c:ext>
              </c:extLst>
            </c:dLbl>
            <c:dLbl>
              <c:idx val="25"/>
              <c:tx>
                <c:strRef>
                  <c:f>'ID22'!$N$39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{E5E24E29-89D4-44A8-93D6-5F75C177F056}</c15:txfldGUID>
                      <c15:f>'ID22'!$N$39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3D27-4F93-AFF1-4911DECB8E67}"/>
                </c:ext>
              </c:extLst>
            </c:dLbl>
            <c:dLbl>
              <c:idx val="26"/>
              <c:tx>
                <c:strRef>
                  <c:f>'ID22'!$N$40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{C5EA90F8-9661-48DE-B883-71A78BCB7884}</c15:txfldGUID>
                      <c15:f>'ID22'!$N$40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3D27-4F93-AFF1-4911DECB8E67}"/>
                </c:ext>
              </c:extLst>
            </c:dLbl>
            <c:dLbl>
              <c:idx val="27"/>
              <c:tx>
                <c:strRef>
                  <c:f>'ID22'!$N$41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{A94DDD88-4FAA-4419-8F0C-EB1D12BA5FAA}</c15:txfldGUID>
                      <c15:f>'ID22'!$N$41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3D27-4F93-AFF1-4911DECB8E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'ID22'!$O$14:$O$40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1.1000000000000001</c:v>
                </c:pt>
                <c:pt idx="9">
                  <c:v>1.2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3D27-4F93-AFF1-4911DECB8E67}"/>
            </c:ext>
          </c:extLst>
        </c:ser>
        <c:ser>
          <c:idx val="7"/>
          <c:order val="7"/>
          <c:tx>
            <c:strRef>
              <c:f>'ID22'!$J$48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'ID22'!$K$48:$K$49</c:f>
              <c:numCache>
                <c:formatCode>0.0</c:formatCode>
                <c:ptCount val="2"/>
                <c:pt idx="0">
                  <c:v>66.3</c:v>
                </c:pt>
                <c:pt idx="1">
                  <c:v>83.5</c:v>
                </c:pt>
              </c:numCache>
            </c:numRef>
          </c:xVal>
          <c:yVal>
            <c:numRef>
              <c:f>'ID22'!$L$48:$L$49</c:f>
              <c:numCache>
                <c:formatCode>0.000</c:formatCode>
                <c:ptCount val="2"/>
                <c:pt idx="0" formatCode="General">
                  <c:v>0.51481481481481473</c:v>
                </c:pt>
                <c:pt idx="1">
                  <c:v>0.51481481481481473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3D27-4F93-AFF1-4911DECB8E67}"/>
            </c:ext>
          </c:extLst>
        </c:ser>
        <c:ser>
          <c:idx val="8"/>
          <c:order val="8"/>
          <c:tx>
            <c:strRef>
              <c:f>'ID22'!$J$51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'ID22'!$K$51:$K$52</c:f>
              <c:numCache>
                <c:formatCode>0.000</c:formatCode>
                <c:ptCount val="2"/>
                <c:pt idx="0">
                  <c:v>76.848148148148141</c:v>
                </c:pt>
                <c:pt idx="1">
                  <c:v>76.848148148148141</c:v>
                </c:pt>
              </c:numCache>
            </c:numRef>
          </c:xVal>
          <c:yVal>
            <c:numRef>
              <c:f>'ID22'!$L$51:$L$52</c:f>
              <c:numCache>
                <c:formatCode>0.0</c:formatCode>
                <c:ptCount val="2"/>
                <c:pt idx="0">
                  <c:v>-0.5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3D27-4F93-AFF1-4911DECB8E67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'ID22'!$K$14:$K$40</c:f>
              <c:numCache>
                <c:formatCode>General</c:formatCode>
                <c:ptCount val="27"/>
                <c:pt idx="0">
                  <c:v>77.2</c:v>
                </c:pt>
                <c:pt idx="1">
                  <c:v>72.099999999999994</c:v>
                </c:pt>
                <c:pt idx="2">
                  <c:v>76.2</c:v>
                </c:pt>
                <c:pt idx="3">
                  <c:v>79.5</c:v>
                </c:pt>
                <c:pt idx="4">
                  <c:v>81.7</c:v>
                </c:pt>
                <c:pt idx="5">
                  <c:v>81.099999999999994</c:v>
                </c:pt>
                <c:pt idx="6">
                  <c:v>79.8</c:v>
                </c:pt>
                <c:pt idx="7">
                  <c:v>82.1</c:v>
                </c:pt>
                <c:pt idx="8">
                  <c:v>67.400000000000006</c:v>
                </c:pt>
                <c:pt idx="9">
                  <c:v>70.5</c:v>
                </c:pt>
                <c:pt idx="10">
                  <c:v>78.2</c:v>
                </c:pt>
                <c:pt idx="11">
                  <c:v>74.400000000000006</c:v>
                </c:pt>
                <c:pt idx="12">
                  <c:v>70.8</c:v>
                </c:pt>
                <c:pt idx="13">
                  <c:v>80.7</c:v>
                </c:pt>
                <c:pt idx="14">
                  <c:v>79.099999999999994</c:v>
                </c:pt>
                <c:pt idx="15">
                  <c:v>66.3</c:v>
                </c:pt>
                <c:pt idx="16">
                  <c:v>78.5</c:v>
                </c:pt>
                <c:pt idx="17">
                  <c:v>74.8</c:v>
                </c:pt>
                <c:pt idx="18">
                  <c:v>77.5</c:v>
                </c:pt>
                <c:pt idx="19">
                  <c:v>81.3</c:v>
                </c:pt>
                <c:pt idx="20">
                  <c:v>83.5</c:v>
                </c:pt>
                <c:pt idx="21">
                  <c:v>77.900000000000006</c:v>
                </c:pt>
                <c:pt idx="22">
                  <c:v>78</c:v>
                </c:pt>
                <c:pt idx="23">
                  <c:v>68.7</c:v>
                </c:pt>
                <c:pt idx="24">
                  <c:v>82.6</c:v>
                </c:pt>
                <c:pt idx="25">
                  <c:v>77.5</c:v>
                </c:pt>
                <c:pt idx="26">
                  <c:v>77.5</c:v>
                </c:pt>
              </c:numCache>
            </c:numRef>
          </c:xVal>
          <c:yVal>
            <c:numRef>
              <c:f>'ID22'!$L$14:$L$40</c:f>
              <c:numCache>
                <c:formatCode>General</c:formatCode>
                <c:ptCount val="27"/>
                <c:pt idx="0">
                  <c:v>-0.1</c:v>
                </c:pt>
                <c:pt idx="1">
                  <c:v>0.2</c:v>
                </c:pt>
                <c:pt idx="2">
                  <c:v>0.3</c:v>
                </c:pt>
                <c:pt idx="3">
                  <c:v>1.6</c:v>
                </c:pt>
                <c:pt idx="4">
                  <c:v>0.4</c:v>
                </c:pt>
                <c:pt idx="5">
                  <c:v>0.5</c:v>
                </c:pt>
                <c:pt idx="6">
                  <c:v>-0.3</c:v>
                </c:pt>
                <c:pt idx="7">
                  <c:v>0.2</c:v>
                </c:pt>
                <c:pt idx="8">
                  <c:v>1.1000000000000001</c:v>
                </c:pt>
                <c:pt idx="9">
                  <c:v>1.2</c:v>
                </c:pt>
                <c:pt idx="10">
                  <c:v>-0.2</c:v>
                </c:pt>
                <c:pt idx="11">
                  <c:v>0.4</c:v>
                </c:pt>
                <c:pt idx="12">
                  <c:v>0.6</c:v>
                </c:pt>
                <c:pt idx="13">
                  <c:v>0.5</c:v>
                </c:pt>
                <c:pt idx="14">
                  <c:v>0.9</c:v>
                </c:pt>
                <c:pt idx="15">
                  <c:v>1.5</c:v>
                </c:pt>
                <c:pt idx="16">
                  <c:v>-0.5</c:v>
                </c:pt>
                <c:pt idx="17">
                  <c:v>0</c:v>
                </c:pt>
                <c:pt idx="18">
                  <c:v>0.5</c:v>
                </c:pt>
                <c:pt idx="19">
                  <c:v>1.2</c:v>
                </c:pt>
                <c:pt idx="20">
                  <c:v>0.6</c:v>
                </c:pt>
                <c:pt idx="21">
                  <c:v>1.2</c:v>
                </c:pt>
                <c:pt idx="22">
                  <c:v>0.9</c:v>
                </c:pt>
                <c:pt idx="23">
                  <c:v>0.2</c:v>
                </c:pt>
                <c:pt idx="24">
                  <c:v>0.6</c:v>
                </c:pt>
                <c:pt idx="25">
                  <c:v>-0.4</c:v>
                </c:pt>
                <c:pt idx="26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3D27-4F93-AFF1-4911DECB8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  <c:min val="60"/>
        </c:scaling>
        <c:delete val="0"/>
        <c:axPos val="b"/>
        <c:title>
          <c:tx>
            <c:strRef>
              <c:f>'ID22'!$K$5</c:f>
              <c:strCache>
                <c:ptCount val="1"/>
                <c:pt idx="0">
                  <c:v>Employment rate (% of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'ID22'!$K$9</c:f>
              <c:strCache>
                <c:ptCount val="1"/>
                <c:pt idx="0">
                  <c:v>Employment rate (% of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'ID31'!$P$13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{AA70E53D-59CA-472E-BD09-CCBC444E6217}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{13A62EB4-1672-446A-991D-AE5CE524DAC8}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{7E6F6A5E-C989-4F9D-991A-FC927A342641}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{3C2EA3B1-7463-49ED-AAE6-4FD35338907F}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{9C841B62-5B45-4093-A6CB-92D99DB3B1FB}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{CCA2CB3A-D506-4CBE-B8FA-5F5B223ECB4B}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{CD23471C-3B53-4C25-9493-B985E919A577}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{88FE4B79-14FA-4690-88A2-612F284F18D9}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{45290152-A602-447C-AA5A-053EE33CC9EE}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{D802AF15-40CE-4E79-AC2C-091EED3AADB2}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{89C51236-F354-43F3-B730-EBD5B73E9232}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{804CEE0A-9596-4649-8AD8-0BCA9B96FED8}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{CEBFFCB0-2E85-4C7D-84FE-CABCABB9313E}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{2EE8A4F3-6D38-4178-9CED-2B932AE504D5}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{3C967ED8-1461-4DC2-BB4F-C84EE51F707E}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{FC1E03F4-ABB6-4E00-8B2D-1990E8F4199A}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{3DC8D686-0C17-493D-85D6-48F08F1C04DA}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{D2AE3861-091B-450F-8D66-6B689983EB50}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{7E95938B-F8FE-4EAB-93E9-F3D8460ACB5B}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{DE4ED4AB-5359-47E4-B89F-FA8ADBA109F4}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{4027FA9D-8289-4233-8727-2D26371C31FC}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{3D745907-9433-41DE-9E0E-E5CB7C8E219B}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{BD744556-7A29-4ECE-8844-C0EDC6F11E5B}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{59231E34-4FD9-44DD-8F8A-F1FB8219DE01}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{52067190-84B0-4620-9D8D-5A1369742B09}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{9C863895-2695-4301-95EF-6BB0AD422E83}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{CA4B4A68-972B-410A-9AAF-C378678D874E}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{F5B1D24D-E216-41CA-A504-7B7C77D78BFE}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DEE-42D7-9A17-455E94114BEC}"/>
            </c:ext>
          </c:extLst>
        </c:ser>
        <c:ser>
          <c:idx val="2"/>
          <c:order val="1"/>
          <c:tx>
            <c:strRef>
              <c:f>'ID31'!$Q$13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{ABA300A9-9ADC-4792-9A1A-A19D407A5961}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{2B3C38D0-89C2-4328-A597-1638F8BA6C41}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{F681BA82-EDAB-4B37-97D1-75EDA47FC031}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{5A4EAD9C-4483-4EBB-9D21-91F6661B556A}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{B4A3671A-C51C-44F2-8265-D60F554911EF}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{07F1CA0D-D12C-4B19-90D7-8AE43A420CD4}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{75B4F21D-129A-45DD-97C4-68346E3FE08B}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{97BB540A-A6C5-4DE4-9BEE-589C55A0B9D2}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{915816E0-A14F-430F-91EB-277185BAA352}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{862C5993-6EBA-43C0-A973-E9C0FB6B0386}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{A146800F-72AE-428F-8AB3-EE424BB1A843}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{9893C537-8CD7-43E4-AD38-7EC060410BC3}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{06CA4E7D-75C3-495C-80A3-56855E8772BB}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{AD54A241-335B-4775-8516-EB8E21425E1C}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{A0B727C2-7996-4667-859F-8D91F1EB2729}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{C3B823E2-DDFF-438A-968C-9FA8FA34D424}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{AC99CA8E-EEF4-40ED-981C-74D6135B1F13}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{D5870EE4-F422-4486-883A-D4F3BC5F6A2C}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{DF4DEA53-FFFF-4AE0-8B24-14193A7F9F22}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{93914756-F876-46B4-A778-911204225A7A}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{AE121262-86F5-4A78-BFFC-726A5378414B}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{A9EDB9A8-11A0-4FC9-9294-37C9ED91D535}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{A87BE9BC-343D-4C93-A41F-9301FC327451}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{8EB8D4AA-90FD-4446-B19D-B271C5E96300}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{59FAE2C9-B611-4135-8ED4-6A390255ED3F}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{0CA4AEAE-F1A6-421C-9090-A6E858C1AD82}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{554FF98A-0B6B-4C49-952D-BDD50A06510B}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{C639FAE9-7093-4476-B125-F013545D7DF1}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</c:v>
                </c:pt>
                <c:pt idx="5">
                  <c:v>-0.1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</c:v>
                </c:pt>
                <c:pt idx="20">
                  <c:v>#N/A</c:v>
                </c:pt>
                <c:pt idx="21">
                  <c:v>-0.1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2DEE-42D7-9A17-455E94114BEC}"/>
            </c:ext>
          </c:extLst>
        </c:ser>
        <c:ser>
          <c:idx val="3"/>
          <c:order val="2"/>
          <c:tx>
            <c:strRef>
              <c:f>'ID31'!$R$13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{1851EAC5-CD94-41DF-B3ED-966876B90449}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{E3055198-434A-43BB-9558-A40F0777AE60}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{9DE2A42F-95B2-42BC-ABB2-8B56772EB43A}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{5DEB5787-A0D1-4722-B8AE-22FAA8EBD89D}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{07975604-74E6-41C6-973C-17FCB8A584EA}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{9CB3288F-E071-4F2B-8CFD-874274ABC7FE}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{135936DE-B33F-4B5F-9D21-0DE125297E28}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{A314DBBE-BC97-47C5-A03C-2B78FCF8EC0F}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{FC06E018-4037-4485-A02B-41E6BB0F05DF}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{4C990B4E-BB99-4A90-8329-7BFF98800481}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{22651F64-23C6-48C8-981B-22E39B3B5B38}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{74F36EC4-2FD6-4DDD-A533-8286399D9050}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{464B5FB7-E401-4E7E-A861-C6540CA8DFE3}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{24C20085-9C2D-4DBE-9173-F5B4949F8504}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{B3E8E075-A1AD-463C-A84B-E317389D0900}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{1DFD61D5-3EDB-4F98-84C1-A66DEFBDB5E1}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{7767D4C9-02DB-4DC5-BDAE-E41A21D49CB0}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{9639FAEB-3C71-43B6-8192-51894FAC845C}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{82C06F7F-1906-420C-B4AE-3C04AF77779E}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{B7672840-4CF7-4F76-BF7F-11A0F6707B8A}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{9DEAE157-7B23-43E1-A016-9A59DC78053A}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{7BA98D30-E929-4CDF-981F-84C42B5BD111}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{DC4C5788-8C3C-478A-8E50-C5796EDA25B5}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{3BB47245-EA57-4538-A2B8-44078B472BB2}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{965FA03E-DD01-4C96-8BDD-E9F43085FBB4}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{D484AACD-C83E-4032-922D-B6BB855A4FCE}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{6BA1B144-6938-4E6C-AA8D-5107BD94F442}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{D26B8BEE-B038-4D5C-8E2F-D15ECB1E11C4}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0.1</c:v>
                </c:pt>
                <c:pt idx="3">
                  <c:v>-1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-0.7</c:v>
                </c:pt>
                <c:pt idx="13">
                  <c:v>0.5</c:v>
                </c:pt>
                <c:pt idx="14">
                  <c:v>-0.2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-0.3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2DEE-42D7-9A17-455E94114BEC}"/>
            </c:ext>
          </c:extLst>
        </c:ser>
        <c:ser>
          <c:idx val="4"/>
          <c:order val="3"/>
          <c:tx>
            <c:strRef>
              <c:f>'ID31'!$S$13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{E9AE5BFA-0FD0-44E1-ACBA-436E64316336}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{ACCF654D-8E49-49F0-AC5A-EE2672916443}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{A1A8AA14-D439-43D6-9562-F1A2C7BE2F5A}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{F321386D-858D-406F-B4C6-712BAB7EAB80}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{D87DC6C0-8741-4AD2-9154-3BD63B127557}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{BE867BB7-698B-4619-AD94-2B69B4BD75CF}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{78888A64-DBDC-4940-9F92-6356B67A55B6}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{479863BB-8C67-4388-BA3E-106546DF3951}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{F3A137CC-F3B6-4868-98DD-2205087A1A7F}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{92AAD650-FD76-4CF5-8B63-659BA5F976A8}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{639B62EE-E5AE-4FBD-8F5B-50B02993B2EC}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{1421A391-6444-43C2-8171-7092E7248B8C}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{470ADCC9-C552-4D8A-A5BF-025DBD0D30C9}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{0856D61F-80A1-4D8E-80C5-90B0FE422A5A}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{F23E5E74-E4B0-4912-8A1E-17497C2E7F32}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{FF0B1E60-7DAE-4F93-9A07-1B2988B2EB66}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{F4038344-0CEF-411C-8136-0F39350217D9}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{A41842AB-334C-4790-B23E-D2573910DD80}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{4FFD218D-1036-4F74-BB5E-2462CCF61E15}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{E2FD7C6C-F7D4-4A28-B895-9BB70CB0D3A1}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{11C1CED7-F570-44E6-BAA3-EBCC163B4116}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{20C03CD9-C24F-42A7-9C46-52BC74AD278C}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{E238B9A0-074C-451A-9C41-28FF7E303BD6}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{3B006B6B-A039-45A5-95B2-547AE3952ECE}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{2C648D7B-CFB4-4360-BEB0-F16F6984EACE}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{CA89F579-DF89-488B-BE64-197C3F724EAD}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{A02F6EDF-EB4E-489D-8970-437978E150C9}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{75B50708-C977-4D3F-94F9-5C77EA6FBE61}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</c:v>
                </c:pt>
                <c:pt idx="7">
                  <c:v>0.8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-0.4</c:v>
                </c:pt>
                <c:pt idx="16">
                  <c:v>0.9</c:v>
                </c:pt>
                <c:pt idx="17">
                  <c:v>0.6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2DEE-42D7-9A17-455E94114BEC}"/>
            </c:ext>
          </c:extLst>
        </c:ser>
        <c:ser>
          <c:idx val="5"/>
          <c:order val="4"/>
          <c:tx>
            <c:strRef>
              <c:f>'ID31'!$T$13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{1C20E2E8-4C61-4287-96D1-7347A648BB8F}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{A3A8D199-BE52-4F6F-95B9-EE4F73C09BE8}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{F83430B7-567F-4B7D-901F-9454EFCEA30A}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{FC68EDA7-CAEF-4300-9768-E17EBA31FBE1}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{B005E21B-F44F-4B7F-A90C-8C0CDCB1C46B}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{5E40283D-FE9C-427E-B3A5-D931F30CFF32}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{CADC512C-D9AE-47BE-82AA-7E7F2B93F313}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{2ACBF3B6-72D1-4ED9-BCE2-7A360A63C572}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{C9F1E2B3-48B9-4FC6-826C-47F9588F9DB1}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{985E2BE4-C177-42D9-82F9-45864F9AE35E}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{BE92F10D-1146-4D11-8E05-700AD15E2EE9}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{98139C9F-6B18-42CA-970C-E96763F345F9}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{DD96D4E7-95B0-4A39-AA86-5ED5D6DB5DC8}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{3993E7B2-78A0-4E01-B129-9BEF87DC5B55}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{252ACEC4-C51B-42A0-904F-F5FE71F4468A}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{0CA34652-67E4-4742-8324-160858A9F327}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{5EBCEAD5-3C0B-4E27-B0C4-85AF1558DF73}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{F5F66D0E-688F-4B4B-ABFD-1DFD539FFF31}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{B0C8A9BA-B57B-4057-B219-6C34325680BD}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{EFEE8B8A-84B2-4911-8149-0B5A0332BE6B}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{B2B68859-C097-470C-BE28-3551C9D0BDEC}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{7809176A-3AC3-4ECF-B816-C916F9458E81}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{A48DF386-2371-4720-8F11-27D4F52F6B4C}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{1276FC33-2304-49EC-83D3-1A9AE8412E32}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{E23603A7-E241-439B-942F-78606738B818}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{6471DAAE-2103-43AB-835D-28050544A568}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{FB6502D6-BF74-4F08-AF0D-28C87955659B}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{12F23C3E-452A-427B-A213-237E95882077}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DEE-42D7-9A17-455E94114BEC}"/>
            </c:ext>
          </c:extLst>
        </c:ser>
        <c:ser>
          <c:idx val="0"/>
          <c:order val="5"/>
          <c:tx>
            <c:strRef>
              <c:f>'ID31'!$U$13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{177862CF-8306-4F7D-8AFB-1905D34A5C3F}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{E48AA719-C94C-49E6-8451-33594A49A88A}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{F06EDC32-6CA3-4613-A06A-A4D52017D974}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{47072735-CAAB-448B-B559-1C3D77EC2081}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{142FAFEB-E5E0-4827-8C0E-4E38E48B2649}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{2D378504-99FA-49E4-8D54-6F6EEC9229B1}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{9128E169-1490-4880-B2DE-0754C878FDEF}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{EBEF6E2C-2F89-41B9-9F17-66B691926091}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{5888F4C7-E921-4A4E-9CD5-E23F2B15155B}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{8BD1E3FD-CC52-4B0B-926E-BC2C0D9C9DC4}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{A11AFC7A-F232-4338-BDE0-091D21E3EB8B}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{DBF1E37D-9D5C-4707-908C-FBA8567352F6}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{66AA6C76-EA70-4E4D-9E36-2987CDE187DD}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{0B6CA0FD-A1F2-4C24-A5BF-D2DB72EA9BFD}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{7A05529C-AE5B-4196-BC8E-EC89D52D0FDF}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{C61E59AC-A2AF-4D40-BD94-C2A75822465D}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{F8CFAC27-1C06-4D1B-9AC7-841F0C606A3C}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{24F1D490-4442-43FA-98A3-7EA5EE1E2652}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{168D73DC-1D04-49B9-A330-0AE8E46C03E5}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{D075DC59-3E2C-47F9-9B73-A2F53E44502F}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{4CCD4EBC-BA76-473C-8607-DA2613B61EDB}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{5B6B2389-DB0B-48AA-BF74-AD349D463612}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{7E199ED1-D1C7-487D-9E92-8326E1FBF945}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{09B82E35-F9D5-47ED-AF75-2F1D75183C0D}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{55FF517F-FD5F-47EC-9663-8D3A3342BC25}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{BB702A2C-143C-4286-9D13-F5947C0490D3}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{8169A139-9630-42B6-AC27-2BD2753BDE17}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{A5828D0A-3366-41B6-8DB5-8AAEF4E0A624}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'ID31'!$U$14:$U$40</c:f>
              <c:numCache>
                <c:formatCode>General</c:formatCode>
                <c:ptCount val="27"/>
                <c:pt idx="0">
                  <c:v>0.3</c:v>
                </c:pt>
                <c:pt idx="1">
                  <c:v>-0.1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-0.4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2DEE-42D7-9A17-455E94114BEC}"/>
            </c:ext>
          </c:extLst>
        </c:ser>
        <c:ser>
          <c:idx val="6"/>
          <c:order val="6"/>
          <c:tx>
            <c:strRef>
              <c:f>'ID31'!$V$13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'ID31'!$N$14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{F342C35A-1618-4756-A200-5846607D08C9}</c15:txfldGUID>
                      <c15:f>'ID31'!$N$14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2DEE-42D7-9A17-455E94114BEC}"/>
                </c:ext>
              </c:extLst>
            </c:dLbl>
            <c:dLbl>
              <c:idx val="1"/>
              <c:tx>
                <c:strRef>
                  <c:f>'ID31'!$N$15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{624C4E60-3E0B-4227-95EA-1637FF405894}</c15:txfldGUID>
                      <c15:f>'ID31'!$N$15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2DEE-42D7-9A17-455E94114BEC}"/>
                </c:ext>
              </c:extLst>
            </c:dLbl>
            <c:dLbl>
              <c:idx val="2"/>
              <c:tx>
                <c:strRef>
                  <c:f>'ID31'!$N$16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{9E9A1449-6722-408B-987C-1221E5D7D242}</c15:txfldGUID>
                      <c15:f>'ID31'!$N$16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2DEE-42D7-9A17-455E94114BEC}"/>
                </c:ext>
              </c:extLst>
            </c:dLbl>
            <c:dLbl>
              <c:idx val="3"/>
              <c:tx>
                <c:strRef>
                  <c:f>'ID31'!$N$17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{DB928DE3-5D2A-4673-A8CC-F36EAA18C170}</c15:txfldGUID>
                      <c15:f>'ID31'!$N$17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2DEE-42D7-9A17-455E94114BEC}"/>
                </c:ext>
              </c:extLst>
            </c:dLbl>
            <c:dLbl>
              <c:idx val="4"/>
              <c:tx>
                <c:strRef>
                  <c:f>'ID31'!$N$18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{366CE5E8-03E5-4B54-BB8C-387B1D9F8E6C}</c15:txfldGUID>
                      <c15:f>'ID31'!$N$18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2DEE-42D7-9A17-455E94114BEC}"/>
                </c:ext>
              </c:extLst>
            </c:dLbl>
            <c:dLbl>
              <c:idx val="5"/>
              <c:tx>
                <c:strRef>
                  <c:f>'ID31'!$N$19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{2442B0AE-689A-426D-910E-CE2057B56C99}</c15:txfldGUID>
                      <c15:f>'ID31'!$N$19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2DEE-42D7-9A17-455E94114BEC}"/>
                </c:ext>
              </c:extLst>
            </c:dLbl>
            <c:dLbl>
              <c:idx val="6"/>
              <c:tx>
                <c:strRef>
                  <c:f>'ID31'!$N$20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{B609F3F6-1E68-4EDA-827C-79C799B5DAB4}</c15:txfldGUID>
                      <c15:f>'ID31'!$N$20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2DEE-42D7-9A17-455E94114BEC}"/>
                </c:ext>
              </c:extLst>
            </c:dLbl>
            <c:dLbl>
              <c:idx val="7"/>
              <c:tx>
                <c:strRef>
                  <c:f>'ID31'!$N$21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{5E0866FB-31A5-4BA4-99C6-7325336FF62D}</c15:txfldGUID>
                      <c15:f>'ID31'!$N$21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2DEE-42D7-9A17-455E94114BEC}"/>
                </c:ext>
              </c:extLst>
            </c:dLbl>
            <c:dLbl>
              <c:idx val="8"/>
              <c:tx>
                <c:strRef>
                  <c:f>'ID31'!$N$22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{A336CAE6-BE8A-4011-84DC-F059CC2AEF5F}</c15:txfldGUID>
                      <c15:f>'ID31'!$N$22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2DEE-42D7-9A17-455E94114BEC}"/>
                </c:ext>
              </c:extLst>
            </c:dLbl>
            <c:dLbl>
              <c:idx val="9"/>
              <c:tx>
                <c:strRef>
                  <c:f>'ID31'!$N$23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{505913EB-44BD-4998-A86F-DD643AF0C7A7}</c15:txfldGUID>
                      <c15:f>'ID31'!$N$23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2DEE-42D7-9A17-455E94114BEC}"/>
                </c:ext>
              </c:extLst>
            </c:dLbl>
            <c:dLbl>
              <c:idx val="10"/>
              <c:tx>
                <c:strRef>
                  <c:f>'ID31'!$N$24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{1CA01CC0-1EEC-4DCE-980B-9E1D5FBF56DC}</c15:txfldGUID>
                      <c15:f>'ID31'!$N$24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2DEE-42D7-9A17-455E94114BEC}"/>
                </c:ext>
              </c:extLst>
            </c:dLbl>
            <c:dLbl>
              <c:idx val="11"/>
              <c:tx>
                <c:strRef>
                  <c:f>'ID31'!$N$25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{999DFDB2-549D-43C4-8434-140ECC5B17E1}</c15:txfldGUID>
                      <c15:f>'ID31'!$N$25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2DEE-42D7-9A17-455E94114BEC}"/>
                </c:ext>
              </c:extLst>
            </c:dLbl>
            <c:dLbl>
              <c:idx val="12"/>
              <c:tx>
                <c:strRef>
                  <c:f>'ID31'!$N$26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{97B13728-2354-4CBE-9EDA-F2DB62CF9D26}</c15:txfldGUID>
                      <c15:f>'ID31'!$N$26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2DEE-42D7-9A17-455E94114BEC}"/>
                </c:ext>
              </c:extLst>
            </c:dLbl>
            <c:dLbl>
              <c:idx val="13"/>
              <c:tx>
                <c:strRef>
                  <c:f>'ID31'!$N$27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{9160BBF5-7BDD-435B-B377-CF18AB94DB3C}</c15:txfldGUID>
                      <c15:f>'ID31'!$N$27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2DEE-42D7-9A17-455E94114BEC}"/>
                </c:ext>
              </c:extLst>
            </c:dLbl>
            <c:dLbl>
              <c:idx val="14"/>
              <c:tx>
                <c:strRef>
                  <c:f>'ID31'!$N$28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{4825B6BC-A1D4-4050-9720-2EDD1E3C8D66}</c15:txfldGUID>
                      <c15:f>'ID31'!$N$28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2DEE-42D7-9A17-455E94114BEC}"/>
                </c:ext>
              </c:extLst>
            </c:dLbl>
            <c:dLbl>
              <c:idx val="15"/>
              <c:tx>
                <c:strRef>
                  <c:f>'ID31'!$N$29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{8378CE20-A8BF-4FBE-A442-CF740AA61FBA}</c15:txfldGUID>
                      <c15:f>'ID31'!$N$29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2DEE-42D7-9A17-455E94114BEC}"/>
                </c:ext>
              </c:extLst>
            </c:dLbl>
            <c:dLbl>
              <c:idx val="16"/>
              <c:tx>
                <c:strRef>
                  <c:f>'ID31'!$N$30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{281ED92A-F90C-4CCC-8AD6-37A5EBAB1097}</c15:txfldGUID>
                      <c15:f>'ID31'!$N$30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2DEE-42D7-9A17-455E94114BEC}"/>
                </c:ext>
              </c:extLst>
            </c:dLbl>
            <c:dLbl>
              <c:idx val="17"/>
              <c:tx>
                <c:strRef>
                  <c:f>'ID31'!$N$31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{CF106898-0A23-40BC-A4B2-DE1DB0CC4EAD}</c15:txfldGUID>
                      <c15:f>'ID31'!$N$31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2DEE-42D7-9A17-455E94114BEC}"/>
                </c:ext>
              </c:extLst>
            </c:dLbl>
            <c:dLbl>
              <c:idx val="18"/>
              <c:tx>
                <c:strRef>
                  <c:f>'ID31'!$N$32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{4D43C70F-CEDF-4C50-9486-8B8739368605}</c15:txfldGUID>
                      <c15:f>'ID31'!$N$32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2DEE-42D7-9A17-455E94114BEC}"/>
                </c:ext>
              </c:extLst>
            </c:dLbl>
            <c:dLbl>
              <c:idx val="19"/>
              <c:tx>
                <c:strRef>
                  <c:f>'ID31'!$N$33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{CBAE844B-E043-4197-BEC2-3A6EE7CF677A}</c15:txfldGUID>
                      <c15:f>'ID31'!$N$33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2DEE-42D7-9A17-455E94114BEC}"/>
                </c:ext>
              </c:extLst>
            </c:dLbl>
            <c:dLbl>
              <c:idx val="20"/>
              <c:tx>
                <c:strRef>
                  <c:f>'ID31'!$N$34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{F755D738-BDA7-452F-B641-A0365E81B875}</c15:txfldGUID>
                      <c15:f>'ID31'!$N$34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2DEE-42D7-9A17-455E94114BEC}"/>
                </c:ext>
              </c:extLst>
            </c:dLbl>
            <c:dLbl>
              <c:idx val="21"/>
              <c:tx>
                <c:strRef>
                  <c:f>'ID31'!$N$35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{D98EA99E-9937-4F8E-9EB0-0E226E62E3EC}</c15:txfldGUID>
                      <c15:f>'ID31'!$N$35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2DEE-42D7-9A17-455E94114BEC}"/>
                </c:ext>
              </c:extLst>
            </c:dLbl>
            <c:dLbl>
              <c:idx val="22"/>
              <c:tx>
                <c:strRef>
                  <c:f>'ID31'!$N$36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{49F57CBE-3B1D-4A1E-B8FB-5FD9A57C092E}</c15:txfldGUID>
                      <c15:f>'ID31'!$N$36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2DEE-42D7-9A17-455E94114BEC}"/>
                </c:ext>
              </c:extLst>
            </c:dLbl>
            <c:dLbl>
              <c:idx val="23"/>
              <c:tx>
                <c:strRef>
                  <c:f>'ID31'!$N$37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{8AC90526-EBAE-4F50-855E-1DE458E25F6F}</c15:txfldGUID>
                      <c15:f>'ID31'!$N$37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2DEE-42D7-9A17-455E94114BEC}"/>
                </c:ext>
              </c:extLst>
            </c:dLbl>
            <c:dLbl>
              <c:idx val="24"/>
              <c:tx>
                <c:strRef>
                  <c:f>'ID31'!$N$38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{2F49A617-65E1-4ED1-9EF5-FEEEA1B002D4}</c15:txfldGUID>
                      <c15:f>'ID31'!$N$38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2DEE-42D7-9A17-455E94114BEC}"/>
                </c:ext>
              </c:extLst>
            </c:dLbl>
            <c:dLbl>
              <c:idx val="25"/>
              <c:tx>
                <c:strRef>
                  <c:f>'ID31'!$N$39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{59B39D35-FB75-4399-91AB-2562BED0FBFF}</c15:txfldGUID>
                      <c15:f>'ID31'!$N$39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2DEE-42D7-9A17-455E94114BEC}"/>
                </c:ext>
              </c:extLst>
            </c:dLbl>
            <c:dLbl>
              <c:idx val="26"/>
              <c:tx>
                <c:strRef>
                  <c:f>'ID31'!$N$40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{FC06B230-A4AC-4A48-9316-13AABEEE418D}</c15:txfldGUID>
                      <c15:f>'ID31'!$N$40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2DEE-42D7-9A17-455E94114BEC}"/>
                </c:ext>
              </c:extLst>
            </c:dLbl>
            <c:dLbl>
              <c:idx val="27"/>
              <c:tx>
                <c:strRef>
                  <c:f>'ID31'!$N$41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{6AA7955F-5A98-4C57-A4B0-66F738664E11}</c15:txfldGUID>
                      <c15:f>'ID31'!$N$41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2DEE-42D7-9A17-455E94114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'ID31'!$O$14:$O$40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-1.4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2DEE-42D7-9A17-455E94114BEC}"/>
            </c:ext>
          </c:extLst>
        </c:ser>
        <c:ser>
          <c:idx val="7"/>
          <c:order val="7"/>
          <c:tx>
            <c:strRef>
              <c:f>'ID31'!$J$48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'ID31'!$K$48:$K$49</c:f>
              <c:numCache>
                <c:formatCode>0.0</c:formatCode>
                <c:ptCount val="2"/>
                <c:pt idx="0">
                  <c:v>2.6</c:v>
                </c:pt>
                <c:pt idx="1">
                  <c:v>12.2</c:v>
                </c:pt>
              </c:numCache>
            </c:numRef>
          </c:xVal>
          <c:yVal>
            <c:numRef>
              <c:f>'ID31'!$L$48:$L$49</c:f>
              <c:numCache>
                <c:formatCode>0.000</c:formatCode>
                <c:ptCount val="2"/>
                <c:pt idx="0" formatCode="General">
                  <c:v>-2.2222222222222227E-2</c:v>
                </c:pt>
                <c:pt idx="1">
                  <c:v>-2.2222222222222227E-2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2DEE-42D7-9A17-455E94114BEC}"/>
            </c:ext>
          </c:extLst>
        </c:ser>
        <c:ser>
          <c:idx val="8"/>
          <c:order val="8"/>
          <c:tx>
            <c:strRef>
              <c:f>'ID31'!$J$51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'ID31'!$K$51:$K$52</c:f>
              <c:numCache>
                <c:formatCode>0.000</c:formatCode>
                <c:ptCount val="2"/>
                <c:pt idx="0">
                  <c:v>5.7666666666666648</c:v>
                </c:pt>
                <c:pt idx="1">
                  <c:v>5.7666666666666648</c:v>
                </c:pt>
              </c:numCache>
            </c:numRef>
          </c:xVal>
          <c:yVal>
            <c:numRef>
              <c:f>'ID31'!$L$51:$L$52</c:f>
              <c:numCache>
                <c:formatCode>0.0</c:formatCode>
                <c:ptCount val="2"/>
                <c:pt idx="0">
                  <c:v>-1.4</c:v>
                </c:pt>
                <c:pt idx="1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2DEE-42D7-9A17-455E94114BEC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'ID31'!$K$14:$K$40</c:f>
              <c:numCache>
                <c:formatCode>General</c:formatCode>
                <c:ptCount val="27"/>
                <c:pt idx="0">
                  <c:v>5.0999999999999996</c:v>
                </c:pt>
                <c:pt idx="1">
                  <c:v>5.5</c:v>
                </c:pt>
                <c:pt idx="2">
                  <c:v>4.3</c:v>
                </c:pt>
                <c:pt idx="3">
                  <c:v>5.8</c:v>
                </c:pt>
                <c:pt idx="4">
                  <c:v>2.6</c:v>
                </c:pt>
                <c:pt idx="5">
                  <c:v>3.1</c:v>
                </c:pt>
                <c:pt idx="6">
                  <c:v>5.0999999999999996</c:v>
                </c:pt>
                <c:pt idx="7">
                  <c:v>6.4</c:v>
                </c:pt>
                <c:pt idx="8">
                  <c:v>11.1</c:v>
                </c:pt>
                <c:pt idx="9">
                  <c:v>12.2</c:v>
                </c:pt>
                <c:pt idx="10">
                  <c:v>7.2</c:v>
                </c:pt>
                <c:pt idx="11">
                  <c:v>7.3</c:v>
                </c:pt>
                <c:pt idx="12">
                  <c:v>6.1</c:v>
                </c:pt>
                <c:pt idx="13">
                  <c:v>4.0999999999999996</c:v>
                </c:pt>
                <c:pt idx="14">
                  <c:v>4.3</c:v>
                </c:pt>
                <c:pt idx="15">
                  <c:v>7.7</c:v>
                </c:pt>
                <c:pt idx="16">
                  <c:v>6.9</c:v>
                </c:pt>
                <c:pt idx="17">
                  <c:v>5.2</c:v>
                </c:pt>
                <c:pt idx="18">
                  <c:v>6.5</c:v>
                </c:pt>
                <c:pt idx="19">
                  <c:v>3.5</c:v>
                </c:pt>
                <c:pt idx="20">
                  <c:v>3.6</c:v>
                </c:pt>
                <c:pt idx="21">
                  <c:v>2.8</c:v>
                </c:pt>
                <c:pt idx="22">
                  <c:v>6.5</c:v>
                </c:pt>
                <c:pt idx="23">
                  <c:v>5.6</c:v>
                </c:pt>
                <c:pt idx="24">
                  <c:v>7.7</c:v>
                </c:pt>
                <c:pt idx="25">
                  <c:v>3.7</c:v>
                </c:pt>
                <c:pt idx="26">
                  <c:v>5.8</c:v>
                </c:pt>
              </c:numCache>
            </c:numRef>
          </c:xVal>
          <c:yVal>
            <c:numRef>
              <c:f>'ID31'!$L$14:$L$40</c:f>
              <c:numCache>
                <c:formatCode>General</c:formatCode>
                <c:ptCount val="27"/>
                <c:pt idx="0">
                  <c:v>0.3</c:v>
                </c:pt>
                <c:pt idx="1">
                  <c:v>-0.1</c:v>
                </c:pt>
                <c:pt idx="2">
                  <c:v>0.1</c:v>
                </c:pt>
                <c:pt idx="3">
                  <c:v>-1</c:v>
                </c:pt>
                <c:pt idx="4">
                  <c:v>0.4</c:v>
                </c:pt>
                <c:pt idx="5">
                  <c:v>-0.1</c:v>
                </c:pt>
                <c:pt idx="6">
                  <c:v>0.6</c:v>
                </c:pt>
                <c:pt idx="7">
                  <c:v>0.8</c:v>
                </c:pt>
                <c:pt idx="8">
                  <c:v>-1.4</c:v>
                </c:pt>
                <c:pt idx="9">
                  <c:v>-0.8</c:v>
                </c:pt>
                <c:pt idx="10">
                  <c:v>0.4</c:v>
                </c:pt>
                <c:pt idx="11">
                  <c:v>0</c:v>
                </c:pt>
                <c:pt idx="12">
                  <c:v>-0.7</c:v>
                </c:pt>
                <c:pt idx="13">
                  <c:v>0.5</c:v>
                </c:pt>
                <c:pt idx="14">
                  <c:v>-0.2</c:v>
                </c:pt>
                <c:pt idx="15">
                  <c:v>-0.4</c:v>
                </c:pt>
                <c:pt idx="16">
                  <c:v>0.9</c:v>
                </c:pt>
                <c:pt idx="17">
                  <c:v>0.6</c:v>
                </c:pt>
                <c:pt idx="18">
                  <c:v>-0.4</c:v>
                </c:pt>
                <c:pt idx="19">
                  <c:v>0</c:v>
                </c:pt>
                <c:pt idx="20">
                  <c:v>0.1</c:v>
                </c:pt>
                <c:pt idx="21">
                  <c:v>-0.1</c:v>
                </c:pt>
                <c:pt idx="22">
                  <c:v>0.3</c:v>
                </c:pt>
                <c:pt idx="23">
                  <c:v>0</c:v>
                </c:pt>
                <c:pt idx="24">
                  <c:v>0.2</c:v>
                </c:pt>
                <c:pt idx="25">
                  <c:v>-0.3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2DEE-42D7-9A17-455E94114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'ID31'!$K$5</c:f>
              <c:strCache>
                <c:ptCount val="1"/>
                <c:pt idx="0">
                  <c:v>Unemployment rate (% of active population aged 15-74)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'ID31'!$K$9</c:f>
              <c:strCache>
                <c:ptCount val="1"/>
                <c:pt idx="0">
                  <c:v>Unemployment rate (% of active population aged 15-74)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'ID50'!$P$13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{C7812654-8263-4606-BB84-0EB47BF5A304}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{512598BA-AF10-41B2-943F-5EDE3A138533}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{826B7E11-F54E-4AEC-8740-058CD9C5444E}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{D4C2A9C1-EFF8-4D4B-8C0A-04C4D7611EDB}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{9730E8BF-E834-407C-85FF-47224FAEED1F}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{1C296BAF-59E2-4710-B882-F10AAC4216D9}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{0CF31290-8448-4CCE-B475-4F471FE4E530}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{CFA95B60-B4A1-493A-9840-49360CD6323F}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{933B40D1-F6F1-4B72-9AC6-45BA29094832}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{EF183B74-FDBC-44D5-AB80-FD5784B42F05}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{DE0C85BA-F799-4BF8-933F-2F0010BE9B5A}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{60CF01AC-A481-494E-BC71-78377D56678E}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{DE71D316-FEB0-4C49-9019-6FDFEAB1F8A4}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{A36632BB-BA77-418F-8037-B5D971B2E6D1}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{355556A2-6810-43FD-B3D3-A89309183CD4}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{883E75C7-5DB6-4CD7-81B1-434D4655C0D3}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{9136DF16-F951-4D74-9660-FCB009B04194}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{9316B872-7BB6-4F06-9033-1716548C7A3C}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{40300D6D-6974-4F80-96EF-CC3C1BB91857}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{F39C9CBA-0D0E-46D1-BE54-F1613496A002}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{742A14B6-7257-4F90-9754-F75643B0E60D}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{651DC1EA-A31C-4FEC-BE93-F16591BD620C}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{7172298E-2043-43AD-B75A-0F342B5B460B}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{44275E41-3A9F-4F7B-AA8A-D381FEE2A901}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{9AE5E931-B486-476E-99F5-086CC970D6AF}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{EB938AEF-1B7F-4275-A129-479C98658F79}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{FE6BC384-BFAE-461E-BD86-E952EFBAB938}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{819DFB60-51F8-475B-B7D9-82F525C7D6CF}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34C-48A0-A6D8-B85741A64CA0}"/>
            </c:ext>
          </c:extLst>
        </c:ser>
        <c:ser>
          <c:idx val="2"/>
          <c:order val="1"/>
          <c:tx>
            <c:strRef>
              <c:f>'ID50'!$Q$13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{94CA260E-C28A-4CD6-BD79-2B442049D159}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{1B27D918-9A1A-4117-96E2-F321BFBAB7FE}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{81E21E34-CBC6-4D32-84AF-6DD233A59057}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{D2BBADD3-1649-4ABE-97BB-6B720B58B36B}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{26AF9467-A509-42F7-ACC7-DBD771D2B5A2}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{53FA1C1F-87BA-4BDE-8A87-B891BF53C8F8}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{93030A4E-F97E-4236-9215-62AFD1439442}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{FC28E615-0092-4EAC-8B22-5268F927B1CF}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{50D21B3F-41AC-418B-81E7-DF60CC8E2D02}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{F8AE39E7-2687-479A-99EF-E443C375CEE0}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{08DBBC9A-6C73-46A6-89D3-59726523F623}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{DE05A9F6-8F3F-4CD2-A237-600B6DEC2ECB}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{834AD1DB-973D-44D1-9D78-B573B5AC1164}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{1D544C55-5392-4E3B-B0D9-357E3CB10D44}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{41EADEC7-711A-4214-80EC-7D5232510FC9}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{35999BCC-0239-470E-975C-AFED25FB0B02}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{420BAAD7-DD79-4283-9289-E6AC687F11FE}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{EE4CBA67-F9BF-41B1-BCDD-014B70235190}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{458459A4-093F-493D-B9FE-A3747A95300D}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{A9D09B03-D342-4F75-876C-9E707B209DF9}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{059C1B5B-B1D9-4E18-86B8-0346D28510CD}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{524E1D81-931C-46B1-A348-14DF6322AD89}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{DC63ED4D-29EE-43B7-A8E4-5D366D2EC3D1}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{19610978-E461-4A73-A457-7312D6A7360B}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{1A686C32-3D5E-41D4-84DF-E654391A5BB8}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{6F46E8A8-40EE-40BF-9CBE-44308F31689C}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{8B462715-6DA0-4DB9-84D5-86E6807E7EB5}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{C76C0946-ED49-4392-8A36-3242D42A6B9C}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-0.2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34C-48A0-A6D8-B85741A64CA0}"/>
            </c:ext>
          </c:extLst>
        </c:ser>
        <c:ser>
          <c:idx val="3"/>
          <c:order val="2"/>
          <c:tx>
            <c:strRef>
              <c:f>'ID50'!$R$13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{8E57F705-B750-4866-B3F4-3DFAA011A32D}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{0D3167C7-26C2-429C-A811-430787E01702}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{C4D8475E-7717-43FF-8AA8-C02CC5CA494A}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{D9C61493-2AB5-4320-80A9-421AB57587F5}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{0505497F-0F24-4E95-B913-29467313FAA4}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{8D312AC6-8524-4A20-91B2-42539F7AF71F}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{CFF74F1A-74D8-423F-9FED-02FA35727DF1}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{BEAF31F2-EA9D-4CBF-BBC2-4FD3804716A8}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{8E8BB114-D639-4574-94AD-F6A3F27902F2}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{E1A64F42-DD6A-4C9D-BF2D-FCECEE1C0A14}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{3B349542-EF47-4D9A-A9B3-1197F6A405E2}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{A85DFF92-456D-4216-80A7-664E96EC9993}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{A2D9DBE7-5331-4598-B03E-3F62DEC5472C}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{BA109534-682D-41BF-AE4A-51ECDC418FFB}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{C07ABEB2-9E11-44E6-89CD-D811DACC8D08}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{962BB8D6-DDCA-47E8-A652-CD39537E19FD}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{73961965-5359-4DD2-9B08-06547BEAA58C}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{D4EFC65E-A927-4D18-98DF-3264BBC57D6B}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{FDB8447C-3B47-4548-9927-F94126339225}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{69AD5DAA-658F-49D7-AA2E-9E3D01B8D988}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{9B813207-7AF8-4A95-988D-3D38D6E13750}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{144FF297-80A7-49BD-B912-D3ADEC2F6E56}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{988E6D11-4829-4177-8C2C-2B51F86231F4}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{B404724A-5A20-4F0F-9E4F-944E0CD73764}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{65C01C3A-214D-47D8-8F09-A37DAB9B2ACE}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{12F22DC0-E6D1-4DF0-A769-0E4D91EE35E6}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{A153A293-523D-459D-9575-FE38FDE564EA}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{F9457210-68A2-4402-B708-C55E3CC65435}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'ID50'!$R$14:$R$40</c:f>
              <c:numCache>
                <c:formatCode>General</c:formatCode>
                <c:ptCount val="27"/>
                <c:pt idx="0">
                  <c:v>-0.1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-0.1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-0.4</c:v>
                </c:pt>
                <c:pt idx="20">
                  <c:v>#N/A</c:v>
                </c:pt>
                <c:pt idx="21">
                  <c:v>-0.1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34C-48A0-A6D8-B85741A64CA0}"/>
            </c:ext>
          </c:extLst>
        </c:ser>
        <c:ser>
          <c:idx val="4"/>
          <c:order val="3"/>
          <c:tx>
            <c:strRef>
              <c:f>'ID50'!$S$13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{28FB1593-3916-467D-A339-A673235574EC}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{0353F94F-086D-4B0B-AA5F-96BA75FF2C3E}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{789DBC1B-F393-4622-8A03-29106DFBD36E}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{5B014829-9BDE-432A-9FDB-062A42CC4EE4}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{D834EC56-E8F3-49A3-BAFF-7C604F4E39F7}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{A9E1A7B0-7BBC-4471-9DD4-8C38235D54D5}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{BE81C9F3-E379-4646-A7CD-622AEB3CBCEE}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{0FEAF559-A79E-4D30-99AD-544F84A1F84A}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{A1BD8C82-A962-47F9-B776-87EC298A58DF}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{CC08B7E2-4B3C-4064-9EDD-3321CD740CB8}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{B1DD057F-7124-4561-91FF-936311621623}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{C959135C-3518-45E1-BCE8-4B20C1202EC3}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{C3467D2F-173B-4448-ABC5-EC5B71BA69EE}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{72B698B0-5333-4676-BD91-BF9305325DCE}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{7F0E434F-C688-48FA-BF33-1ADABE1C8F58}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{93E37AA0-A59C-4509-A0D6-D880C7F7D933}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{E5444030-5169-4FEC-9D9B-1C4373AB118E}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{E50F9436-5FA3-4244-8B07-DB8061050C83}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{71C51F67-B2DE-4428-9DBB-977D203B9185}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{7CA468AD-7A29-45D3-BD63-835D691AA208}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{C49A0CF3-2FBA-44CF-B285-B93E2958814A}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{2A72CDA1-E724-4772-80F1-AAEE6F3104C1}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{DCC6CD3E-1E4C-449B-AF13-2C52FB9B9270}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{ED7D64B3-ED61-4B36-8AB4-19FB6107B3E8}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{63372CDD-86AA-496C-92AC-69E62639C70D}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{0F4BA929-4155-486A-B799-B16FF5597ED4}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{F54B7A34-8705-498C-A7ED-80B9A4F09694}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{5312D622-EB93-4C63-A125-05A227EEE60E}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34C-48A0-A6D8-B85741A64CA0}"/>
            </c:ext>
          </c:extLst>
        </c:ser>
        <c:ser>
          <c:idx val="5"/>
          <c:order val="4"/>
          <c:tx>
            <c:strRef>
              <c:f>'ID50'!$T$13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{B0B32DAD-D3F6-4871-929C-BBB197D5AECC}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{83E9E71D-99A9-4F52-8AD2-4EC3A3210251}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{388A6177-3578-4D65-8BB9-1A5710E66D42}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{D4C2B2E8-F774-4FA7-8809-49A702083C09}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{5A53D328-F65D-4DCD-A8CD-1DE4DF9B2743}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{5DB420C9-B04C-4F8D-AC03-3EB6863A5713}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{587E5662-51D5-4964-BE95-4DFBC92744CB}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{42379B71-F61A-4A8A-9460-FB5A855F1C94}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{1514C737-70D6-4E3E-A7D1-EA7D733D0630}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{B0D3123B-560E-4ADE-AF71-4A7C6E315746}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{EEF32A3E-C1D4-495C-80DA-36BB2516AF34}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{7FB014F6-76F8-44EF-9B9B-3EC0975FC1C8}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{7A6BA29D-05EA-4013-B914-8AB859FD372D}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{44309629-FA11-4D3F-B97B-4CC6D1A3CEF2}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{DAC0F426-A0C9-4AC0-BC7C-D7CF4871231B}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{54AB42D8-CFA0-40E6-B9CB-F9252958CDFA}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{CA6C5CE7-5090-43F6-8078-FF4548F7FE4A}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{3238A453-CE5E-4CCA-A210-1F542D1A983D}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{E73B75B5-4AC9-472F-8618-29887EC80B77}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{E63206AE-92C8-4A8F-A801-4F650CD6526C}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{A01F7436-0507-45C7-BCDF-C99982195BD9}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{52BD4013-BA09-45EA-AB73-5B3B8C06CD4F}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{32B88506-312B-4546-838A-E6B5DA6EAD48}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{AB3DD822-A47B-4B3B-9D1E-40C47E108B12}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{543AE8ED-95B6-4B8F-A712-86DB8E284616}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{D308729A-281C-41EF-9781-4E9E426951A2}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{82F87450-F887-4B93-9C13-A356F8D2A369}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{14DACC9D-7EB3-4F45-9078-D10518078BEA}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-0.4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34C-48A0-A6D8-B85741A64CA0}"/>
            </c:ext>
          </c:extLst>
        </c:ser>
        <c:ser>
          <c:idx val="0"/>
          <c:order val="5"/>
          <c:tx>
            <c:strRef>
              <c:f>'ID50'!$U$13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{7A598515-5687-4BF2-ACDF-4580B02EF5EA}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{ACF16EB7-147E-453A-BDE9-FF15B2D321CD}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{591575D6-2111-4081-9141-D945D61A6C4D}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{C379602F-B1ED-423C-9AAD-78476333276F}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{767A78C9-0221-48DB-8A29-DAE28FE79DB4}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{753E0C26-CC05-40E0-96F1-5B5F4717ACAF}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{8C9B6174-D180-439A-B409-35D10801DF73}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{E66BB5B8-485F-4E78-A112-32E872C0436A}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{D3E454BA-D87D-41E7-ABC9-4AEE1B7F2BAA}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{0FD958BA-4FA6-437D-8E57-B0C83430E4A9}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{5D2E549F-8293-4EF7-9044-3264D44F12B9}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{2E75613B-CB11-4B29-AE3A-175FDFAFFC0A}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{0CFF5851-DAE3-4493-8A48-2369C6D6AE08}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{E4CCB162-F25E-485A-8FAE-BF59A15B1192}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{3DDD6A68-783D-46C5-A2FF-0B5D9225B91B}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{772AC8BA-71FA-4866-A650-711AF7CCB268}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{4E7333BB-0763-46DF-AF20-A822CCF5E7C4}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{68FD727D-5E27-4EB9-8EFA-EC96A1E674A0}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{94025BF1-7BB3-45B9-8792-EE892BF29FEE}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{6C3F7A5D-4C99-44FA-BE59-86596316A024}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{B8447DA8-112B-4C39-84E0-2957216387C6}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{662C23F6-0EB2-4C5E-B3E0-66E7E5A80257}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{B3784612-225D-4C17-A459-875B28B9A685}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{F66815D9-845C-44DE-9F8C-EF45ABDF8B19}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{F0A5648A-0299-4F40-A2DD-B100E38D4EE5}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{FCC041BA-FB22-4887-99B0-078829716DCF}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{BA0FFECC-61B6-4C4C-A138-B445B1274BA8}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{8D257229-57BC-4FE3-91CE-48D484D92AD5}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-0.1</c:v>
                </c:pt>
                <c:pt idx="2">
                  <c:v>0.1</c:v>
                </c:pt>
                <c:pt idx="3">
                  <c:v>-0.5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</c:v>
                </c:pt>
                <c:pt idx="11">
                  <c:v>-0.2</c:v>
                </c:pt>
                <c:pt idx="12">
                  <c:v>-0.3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-0.2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-0.3</c:v>
                </c:pt>
                <c:pt idx="23">
                  <c:v>0</c:v>
                </c:pt>
                <c:pt idx="24">
                  <c:v>-0.3</c:v>
                </c:pt>
                <c:pt idx="25">
                  <c:v>-0.2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34C-48A0-A6D8-B85741A64CA0}"/>
            </c:ext>
          </c:extLst>
        </c:ser>
        <c:ser>
          <c:idx val="6"/>
          <c:order val="6"/>
          <c:tx>
            <c:strRef>
              <c:f>'ID50'!$V$13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'ID50'!$N$14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{01834CD2-C669-416C-AB8A-B88B8A212B9C}</c15:txfldGUID>
                      <c15:f>'ID50'!$N$14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34C-48A0-A6D8-B85741A64CA0}"/>
                </c:ext>
              </c:extLst>
            </c:dLbl>
            <c:dLbl>
              <c:idx val="1"/>
              <c:tx>
                <c:strRef>
                  <c:f>'ID50'!$N$15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{D8071B54-44F1-498C-ADE1-6A95E265D0D2}</c15:txfldGUID>
                      <c15:f>'ID50'!$N$15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34C-48A0-A6D8-B85741A64CA0}"/>
                </c:ext>
              </c:extLst>
            </c:dLbl>
            <c:dLbl>
              <c:idx val="2"/>
              <c:tx>
                <c:strRef>
                  <c:f>'ID50'!$N$16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{C3E5C818-125C-4A8D-82F0-2474BD38CB4F}</c15:txfldGUID>
                      <c15:f>'ID50'!$N$16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34C-48A0-A6D8-B85741A64CA0}"/>
                </c:ext>
              </c:extLst>
            </c:dLbl>
            <c:dLbl>
              <c:idx val="3"/>
              <c:tx>
                <c:strRef>
                  <c:f>'ID50'!$N$17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{F965EF11-9339-41C4-A50F-FBB2DCA637DA}</c15:txfldGUID>
                      <c15:f>'ID50'!$N$17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34C-48A0-A6D8-B85741A64CA0}"/>
                </c:ext>
              </c:extLst>
            </c:dLbl>
            <c:dLbl>
              <c:idx val="4"/>
              <c:tx>
                <c:strRef>
                  <c:f>'ID50'!$N$18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{F575B347-7527-4185-981A-9202C32530AF}</c15:txfldGUID>
                      <c15:f>'ID50'!$N$18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34C-48A0-A6D8-B85741A64CA0}"/>
                </c:ext>
              </c:extLst>
            </c:dLbl>
            <c:dLbl>
              <c:idx val="5"/>
              <c:tx>
                <c:strRef>
                  <c:f>'ID50'!$N$19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{3D0EEB35-AA71-4957-ABCD-3D688BC44A27}</c15:txfldGUID>
                      <c15:f>'ID50'!$N$19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34C-48A0-A6D8-B85741A64CA0}"/>
                </c:ext>
              </c:extLst>
            </c:dLbl>
            <c:dLbl>
              <c:idx val="6"/>
              <c:tx>
                <c:strRef>
                  <c:f>'ID50'!$N$20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{77CACD39-6C74-409F-A2D9-B8F857E09C04}</c15:txfldGUID>
                      <c15:f>'ID50'!$N$20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34C-48A0-A6D8-B85741A64CA0}"/>
                </c:ext>
              </c:extLst>
            </c:dLbl>
            <c:dLbl>
              <c:idx val="7"/>
              <c:tx>
                <c:strRef>
                  <c:f>'ID50'!$N$21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{AD2A063F-6B3E-4BB1-88A5-761A2A1B2837}</c15:txfldGUID>
                      <c15:f>'ID50'!$N$21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34C-48A0-A6D8-B85741A64CA0}"/>
                </c:ext>
              </c:extLst>
            </c:dLbl>
            <c:dLbl>
              <c:idx val="8"/>
              <c:tx>
                <c:strRef>
                  <c:f>'ID50'!$N$22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{77A99F29-EFDB-4718-8E3B-478DC25DC145}</c15:txfldGUID>
                      <c15:f>'ID50'!$N$22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34C-48A0-A6D8-B85741A64CA0}"/>
                </c:ext>
              </c:extLst>
            </c:dLbl>
            <c:dLbl>
              <c:idx val="9"/>
              <c:tx>
                <c:strRef>
                  <c:f>'ID50'!$N$23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{6CCBE63F-9822-4873-9D37-6E0412229D3C}</c15:txfldGUID>
                      <c15:f>'ID50'!$N$23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34C-48A0-A6D8-B85741A64CA0}"/>
                </c:ext>
              </c:extLst>
            </c:dLbl>
            <c:dLbl>
              <c:idx val="10"/>
              <c:tx>
                <c:strRef>
                  <c:f>'ID50'!$N$24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{940F5B39-2FAF-478E-B541-9A51DC96F243}</c15:txfldGUID>
                      <c15:f>'ID50'!$N$24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34C-48A0-A6D8-B85741A64CA0}"/>
                </c:ext>
              </c:extLst>
            </c:dLbl>
            <c:dLbl>
              <c:idx val="11"/>
              <c:tx>
                <c:strRef>
                  <c:f>'ID50'!$N$25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{83C4B452-71E1-4A1A-8342-FBCD83F59797}</c15:txfldGUID>
                      <c15:f>'ID50'!$N$25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34C-48A0-A6D8-B85741A64CA0}"/>
                </c:ext>
              </c:extLst>
            </c:dLbl>
            <c:dLbl>
              <c:idx val="12"/>
              <c:tx>
                <c:strRef>
                  <c:f>'ID50'!$N$26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{D597331E-5F97-4608-8C7E-728BCD905D5F}</c15:txfldGUID>
                      <c15:f>'ID50'!$N$26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34C-48A0-A6D8-B85741A64CA0}"/>
                </c:ext>
              </c:extLst>
            </c:dLbl>
            <c:dLbl>
              <c:idx val="13"/>
              <c:tx>
                <c:strRef>
                  <c:f>'ID50'!$N$27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{B209ACFF-A2E5-4EA0-B492-FB8D620F1954}</c15:txfldGUID>
                      <c15:f>'ID50'!$N$27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34C-48A0-A6D8-B85741A64CA0}"/>
                </c:ext>
              </c:extLst>
            </c:dLbl>
            <c:dLbl>
              <c:idx val="14"/>
              <c:tx>
                <c:strRef>
                  <c:f>'ID50'!$N$28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{3130596E-7110-471E-A717-81549BF86DCE}</c15:txfldGUID>
                      <c15:f>'ID50'!$N$28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34C-48A0-A6D8-B85741A64CA0}"/>
                </c:ext>
              </c:extLst>
            </c:dLbl>
            <c:dLbl>
              <c:idx val="15"/>
              <c:tx>
                <c:strRef>
                  <c:f>'ID50'!$N$29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{C4109AF5-F6E6-46C7-AE02-0D3D7AC1E0B8}</c15:txfldGUID>
                      <c15:f>'ID50'!$N$29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34C-48A0-A6D8-B85741A64CA0}"/>
                </c:ext>
              </c:extLst>
            </c:dLbl>
            <c:dLbl>
              <c:idx val="16"/>
              <c:tx>
                <c:strRef>
                  <c:f>'ID50'!$N$30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{8881DF85-62FC-435B-9664-87DFF3A99D59}</c15:txfldGUID>
                      <c15:f>'ID50'!$N$30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34C-48A0-A6D8-B85741A64CA0}"/>
                </c:ext>
              </c:extLst>
            </c:dLbl>
            <c:dLbl>
              <c:idx val="17"/>
              <c:tx>
                <c:strRef>
                  <c:f>'ID50'!$N$31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{27BEEB29-DF73-4615-BE93-A9BA96F02CEC}</c15:txfldGUID>
                      <c15:f>'ID50'!$N$31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34C-48A0-A6D8-B85741A64CA0}"/>
                </c:ext>
              </c:extLst>
            </c:dLbl>
            <c:dLbl>
              <c:idx val="18"/>
              <c:tx>
                <c:strRef>
                  <c:f>'ID50'!$N$32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{EE5FF8AD-DAA5-499A-9741-AAC067BD2706}</c15:txfldGUID>
                      <c15:f>'ID50'!$N$32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34C-48A0-A6D8-B85741A64CA0}"/>
                </c:ext>
              </c:extLst>
            </c:dLbl>
            <c:dLbl>
              <c:idx val="19"/>
              <c:tx>
                <c:strRef>
                  <c:f>'ID50'!$N$33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{7C92F659-1435-41EE-B9F9-E6268E063363}</c15:txfldGUID>
                      <c15:f>'ID50'!$N$33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34C-48A0-A6D8-B85741A64CA0}"/>
                </c:ext>
              </c:extLst>
            </c:dLbl>
            <c:dLbl>
              <c:idx val="20"/>
              <c:tx>
                <c:strRef>
                  <c:f>'ID50'!$N$34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{46A4EF1E-7026-4CDD-AC90-F0E7D343CFCB}</c15:txfldGUID>
                      <c15:f>'ID50'!$N$34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34C-48A0-A6D8-B85741A64CA0}"/>
                </c:ext>
              </c:extLst>
            </c:dLbl>
            <c:dLbl>
              <c:idx val="21"/>
              <c:tx>
                <c:strRef>
                  <c:f>'ID50'!$N$35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{2CD965AF-9DCA-48F1-B08A-865F9F7DE08E}</c15:txfldGUID>
                      <c15:f>'ID50'!$N$35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34C-48A0-A6D8-B85741A64CA0}"/>
                </c:ext>
              </c:extLst>
            </c:dLbl>
            <c:dLbl>
              <c:idx val="22"/>
              <c:tx>
                <c:strRef>
                  <c:f>'ID50'!$N$36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{3A9E5D58-EE39-499A-A6D0-02EDF7384BB0}</c15:txfldGUID>
                      <c15:f>'ID50'!$N$36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34C-48A0-A6D8-B85741A64CA0}"/>
                </c:ext>
              </c:extLst>
            </c:dLbl>
            <c:dLbl>
              <c:idx val="23"/>
              <c:tx>
                <c:strRef>
                  <c:f>'ID50'!$N$37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{79BBA199-46A8-4DF6-87F0-24F882EE3F73}</c15:txfldGUID>
                      <c15:f>'ID50'!$N$37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34C-48A0-A6D8-B85741A64CA0}"/>
                </c:ext>
              </c:extLst>
            </c:dLbl>
            <c:dLbl>
              <c:idx val="24"/>
              <c:tx>
                <c:strRef>
                  <c:f>'ID50'!$N$38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{5F5B26EB-B1DD-4C82-8912-8B499ADC63A1}</c15:txfldGUID>
                      <c15:f>'ID50'!$N$38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34C-48A0-A6D8-B85741A64CA0}"/>
                </c:ext>
              </c:extLst>
            </c:dLbl>
            <c:dLbl>
              <c:idx val="25"/>
              <c:tx>
                <c:strRef>
                  <c:f>'ID50'!$N$39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{1C2254E8-36D3-47B5-A549-54D94C72B905}</c15:txfldGUID>
                      <c15:f>'ID50'!$N$39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34C-48A0-A6D8-B85741A64CA0}"/>
                </c:ext>
              </c:extLst>
            </c:dLbl>
            <c:dLbl>
              <c:idx val="26"/>
              <c:tx>
                <c:strRef>
                  <c:f>'ID50'!$N$40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{39E754E7-2889-4F0E-9AFB-1D68BA13E960}</c15:txfldGUID>
                      <c15:f>'ID50'!$N$40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34C-48A0-A6D8-B85741A64CA0}"/>
                </c:ext>
              </c:extLst>
            </c:dLbl>
            <c:dLbl>
              <c:idx val="27"/>
              <c:tx>
                <c:strRef>
                  <c:f>'ID50'!$N$41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{FF8A5C67-8DB0-46C0-AD27-BC7C67634AEC}</c15:txfldGUID>
                      <c15:f>'ID50'!$N$41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34C-48A0-A6D8-B85741A64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'ID50'!$O$14:$O$40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-1.5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34C-48A0-A6D8-B85741A64CA0}"/>
            </c:ext>
          </c:extLst>
        </c:ser>
        <c:ser>
          <c:idx val="7"/>
          <c:order val="7"/>
          <c:tx>
            <c:strRef>
              <c:f>'ID50'!$J$48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'ID50'!$K$48:$K$49</c:f>
              <c:numCache>
                <c:formatCode>0.0</c:formatCode>
                <c:ptCount val="2"/>
                <c:pt idx="0">
                  <c:v>0.5</c:v>
                </c:pt>
                <c:pt idx="1">
                  <c:v>6.2</c:v>
                </c:pt>
              </c:numCache>
            </c:numRef>
          </c:xVal>
          <c:yVal>
            <c:numRef>
              <c:f>'ID50'!$L$48:$L$49</c:f>
              <c:numCache>
                <c:formatCode>0.000</c:formatCode>
                <c:ptCount val="2"/>
                <c:pt idx="0" formatCode="General">
                  <c:v>-0.19259259259259257</c:v>
                </c:pt>
                <c:pt idx="1">
                  <c:v>-0.19259259259259257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34C-48A0-A6D8-B85741A64CA0}"/>
            </c:ext>
          </c:extLst>
        </c:ser>
        <c:ser>
          <c:idx val="8"/>
          <c:order val="8"/>
          <c:tx>
            <c:strRef>
              <c:f>'ID50'!$J$51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'ID50'!$K$51:$K$52</c:f>
              <c:numCache>
                <c:formatCode>0.000</c:formatCode>
                <c:ptCount val="2"/>
                <c:pt idx="0">
                  <c:v>1.9666666666666666</c:v>
                </c:pt>
                <c:pt idx="1">
                  <c:v>1.9666666666666666</c:v>
                </c:pt>
              </c:numCache>
            </c:numRef>
          </c:xVal>
          <c:yVal>
            <c:numRef>
              <c:f>'ID50'!$L$51:$L$52</c:f>
              <c:numCache>
                <c:formatCode>0.0</c:formatCode>
                <c:ptCount val="2"/>
                <c:pt idx="0">
                  <c:v>-1.5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34C-48A0-A6D8-B85741A64CA0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'ID50'!$K$14:$K$40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1.8</c:v>
                </c:pt>
                <c:pt idx="4">
                  <c:v>0.8</c:v>
                </c:pt>
                <c:pt idx="5">
                  <c:v>1</c:v>
                </c:pt>
                <c:pt idx="6">
                  <c:v>0.5</c:v>
                </c:pt>
                <c:pt idx="7">
                  <c:v>1.3</c:v>
                </c:pt>
                <c:pt idx="8">
                  <c:v>6.2</c:v>
                </c:pt>
                <c:pt idx="9">
                  <c:v>4.3</c:v>
                </c:pt>
                <c:pt idx="10">
                  <c:v>1.6</c:v>
                </c:pt>
                <c:pt idx="11">
                  <c:v>1.8</c:v>
                </c:pt>
                <c:pt idx="12">
                  <c:v>2.1</c:v>
                </c:pt>
                <c:pt idx="13">
                  <c:v>1.4</c:v>
                </c:pt>
                <c:pt idx="14">
                  <c:v>1.1000000000000001</c:v>
                </c:pt>
                <c:pt idx="15">
                  <c:v>4.2</c:v>
                </c:pt>
                <c:pt idx="16">
                  <c:v>2.2999999999999998</c:v>
                </c:pt>
                <c:pt idx="17">
                  <c:v>1.7</c:v>
                </c:pt>
                <c:pt idx="18">
                  <c:v>1.8</c:v>
                </c:pt>
                <c:pt idx="19">
                  <c:v>0.8</c:v>
                </c:pt>
                <c:pt idx="20">
                  <c:v>0.5</c:v>
                </c:pt>
                <c:pt idx="21">
                  <c:v>0.8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1.6</c:v>
                </c:pt>
                <c:pt idx="25">
                  <c:v>1.4</c:v>
                </c:pt>
                <c:pt idx="26">
                  <c:v>3.8</c:v>
                </c:pt>
              </c:numCache>
            </c:numRef>
          </c:xVal>
          <c:yVal>
            <c:numRef>
              <c:f>'ID50'!$L$14:$L$40</c:f>
              <c:numCache>
                <c:formatCode>General</c:formatCode>
                <c:ptCount val="27"/>
                <c:pt idx="0">
                  <c:v>-0.1</c:v>
                </c:pt>
                <c:pt idx="1">
                  <c:v>-0.1</c:v>
                </c:pt>
                <c:pt idx="2">
                  <c:v>0.1</c:v>
                </c:pt>
                <c:pt idx="3">
                  <c:v>-0.5</c:v>
                </c:pt>
                <c:pt idx="4">
                  <c:v>0.2</c:v>
                </c:pt>
                <c:pt idx="5">
                  <c:v>-0.1</c:v>
                </c:pt>
                <c:pt idx="6">
                  <c:v>0</c:v>
                </c:pt>
                <c:pt idx="7">
                  <c:v>0</c:v>
                </c:pt>
                <c:pt idx="8">
                  <c:v>-1.5</c:v>
                </c:pt>
                <c:pt idx="9">
                  <c:v>-0.8</c:v>
                </c:pt>
                <c:pt idx="10">
                  <c:v>0.1</c:v>
                </c:pt>
                <c:pt idx="11">
                  <c:v>-0.2</c:v>
                </c:pt>
                <c:pt idx="12">
                  <c:v>-0.3</c:v>
                </c:pt>
                <c:pt idx="13">
                  <c:v>0.2</c:v>
                </c:pt>
                <c:pt idx="14">
                  <c:v>-0.2</c:v>
                </c:pt>
                <c:pt idx="15">
                  <c:v>-0.4</c:v>
                </c:pt>
                <c:pt idx="16">
                  <c:v>0</c:v>
                </c:pt>
                <c:pt idx="17">
                  <c:v>0.4</c:v>
                </c:pt>
                <c:pt idx="18">
                  <c:v>-0.2</c:v>
                </c:pt>
                <c:pt idx="19">
                  <c:v>-0.4</c:v>
                </c:pt>
                <c:pt idx="20">
                  <c:v>-0.2</c:v>
                </c:pt>
                <c:pt idx="21">
                  <c:v>-0.1</c:v>
                </c:pt>
                <c:pt idx="22">
                  <c:v>-0.3</c:v>
                </c:pt>
                <c:pt idx="23">
                  <c:v>0</c:v>
                </c:pt>
                <c:pt idx="24">
                  <c:v>-0.3</c:v>
                </c:pt>
                <c:pt idx="25">
                  <c:v>-0.2</c:v>
                </c:pt>
                <c:pt idx="26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34C-48A0-A6D8-B85741A6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'ID50'!$K$5</c:f>
              <c:strCache>
                <c:ptCount val="1"/>
                <c:pt idx="0">
                  <c:v>Long-term unemployment rate (% active population aged 15-74)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'ID50'!$K$9</c:f>
              <c:strCache>
                <c:ptCount val="1"/>
                <c:pt idx="0">
                  <c:v>Long-term unemployment rate (% active population aged 15-74)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'ID61'!$P$13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{DDBBFFE0-0FE2-4CFC-A8CC-76D07B51C70A}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{C442E729-7B7E-4BC8-844A-C596BE6695D9}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{A468A787-6BB1-49E3-BB2F-A5A97D73391C}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{3A5D260A-CA55-4C95-B2E3-01685965F311}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{4A961E3C-F416-4FF0-B43F-A2152DF918A3}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{D9BFAD6F-7BCB-42A3-8A80-688CF1E8C46E}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{BF9D5BFE-8E0A-43A1-AE52-061471A6ABE1}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{F5088668-1E29-417D-AA0A-8CEB75E7DA95}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{42D7BFE0-E353-40CC-B1E0-1707CCB5A862}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{CB66C661-7274-4DEF-A844-34E771DE9EF9}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{DA2D1A2D-E696-4FFE-908D-059B5A60B77A}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{D77EABFB-02B9-4896-B083-64322F357CBE}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{1AAC71B9-D2E2-40CA-BF57-625C8E3695BC}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{7DBA6D0A-A33F-43BF-A7A1-04CFAEA880B0}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{6DAA13BF-6BC8-4549-9DE2-20D30C0FF33D}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{578B6073-BE33-479A-8B03-B25DE27CE52B}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{8B6D0C07-C3A8-4F22-850D-0AECBBCFD2F7}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{F7479C47-8402-4175-9F1A-CE726ADFA57D}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{02DEC88E-0D62-4C7E-AE9A-93A7E7CDD791}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{8AA9085E-F058-47BF-A1A1-34587500F9C5}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{B8498042-7F05-40FA-9416-6ACADEFA9259}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{4EF4CFF6-2347-48D6-B8FB-7D884DE4AD0A}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{C6C1D3FA-F01F-4FDE-AD0E-15836FDC3B2A}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{8E3C874B-AB41-4D77-ACE2-B9A7430B4857}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{28F8A569-7FD2-4C4A-AAAC-085019884D63}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{C340F169-D940-4A20-A003-78C966046451}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{9EF448DC-C9A5-4736-8AC1-BA2D681D7A0E}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{609E2872-C3D6-4627-AC13-1B3C6D01E63B}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CA2-4A06-8329-86B6D6749A08}"/>
            </c:ext>
          </c:extLst>
        </c:ser>
        <c:ser>
          <c:idx val="2"/>
          <c:order val="1"/>
          <c:tx>
            <c:strRef>
              <c:f>'ID61'!$Q$13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{6C54D5BE-F043-4E79-A9AC-D8F61BA1F2EF}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{19813110-DD57-4257-855C-56FD26C7F721}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{ACF61DAC-536E-4492-A02C-FC7188D26697}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{8E133D63-DDB7-472E-98E4-EDDD349BB944}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{FA5CE6F7-A0C9-44EE-8B38-61BB75F413B8}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{7740D4B1-4476-4E50-A318-4928D83352E2}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{D6B3B5C9-6C89-4710-89E5-92F0B3D36140}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{C9D6B87C-F8A8-4A19-AE7F-DA0AF5587E77}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{B8E0F71F-F97A-42C9-A2AC-DB92CB9B5559}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{C36404C3-0BD8-4005-8265-1AD68DAF200C}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{FEA66CF2-0D59-48A7-88CC-F02EC6F51740}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{8BA5F369-6FB3-4D04-AB5D-F94D2AB2ADA0}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{B3409E14-483C-4940-B9A5-0C21184A4080}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{C60FACCB-919E-4CAD-9597-D0C052DF7D0A}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{95809D26-D7A5-4CC9-B131-4D5C9B61DA34}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{720A3E34-7163-495C-AB68-8B06D304AB74}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{0B648B0E-3E99-4F40-82B8-B13216DA2671}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{7F2C2C00-FB06-4D96-A5AA-3CF5651AD84B}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{F6B311CC-4874-4422-9F0D-FC4B61622110}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{CBE6D4BC-6AF0-4C8B-A3CF-1113B88FF565}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{77DCA81B-F210-4F64-BBA6-A86F0FF67F0B}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{DEBA307C-161E-4964-B309-085A631F323D}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{C7B3CB8B-F702-4331-900B-D5F16C61DE10}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{E9CF53C8-0F15-4B9D-A07C-36894C6B124D}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{5528724E-6DDB-4B7F-B7AC-7408AF13FD0E}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{5B8B2710-D2F9-44AB-95F5-9008273706FD}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{37325632-64AC-4398-B5AB-7FDE56F6E4B2}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{5CDFDA3D-DC5C-410D-A441-FB07C382B60E}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2.1999999999999999E-2</c:v>
                </c:pt>
                <c:pt idx="14">
                  <c:v>#N/A</c:v>
                </c:pt>
                <c:pt idx="15">
                  <c:v>#N/A</c:v>
                </c:pt>
                <c:pt idx="16">
                  <c:v>7.0000000000000001E-3</c:v>
                </c:pt>
                <c:pt idx="17">
                  <c:v>#N/A</c:v>
                </c:pt>
                <c:pt idx="18">
                  <c:v>#N/A</c:v>
                </c:pt>
                <c:pt idx="19">
                  <c:v>5.7000000000000002E-2</c:v>
                </c:pt>
                <c:pt idx="20">
                  <c:v>#N/A</c:v>
                </c:pt>
                <c:pt idx="21">
                  <c:v>1.2999999999999999E-2</c:v>
                </c:pt>
                <c:pt idx="22">
                  <c:v>#N/A</c:v>
                </c:pt>
                <c:pt idx="23">
                  <c:v>7.0000000000000001E-3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CA2-4A06-8329-86B6D6749A08}"/>
            </c:ext>
          </c:extLst>
        </c:ser>
        <c:ser>
          <c:idx val="3"/>
          <c:order val="2"/>
          <c:tx>
            <c:strRef>
              <c:f>'ID61'!$R$13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{34239E23-1A18-4A76-87A2-44E2458541F8}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{EF9770B0-0D18-4E7F-969A-C460F49002B9}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{078756BC-D4DA-4170-B5BF-99F3675E7C01}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{CF951772-EA84-4D83-8EE4-AF15D002CC11}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{A2423B18-A777-4AB3-A6D0-1D0F820DBB4C}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{A92A01A6-DCCF-4B81-B825-ABCB7B7926AD}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{5A1AF5E3-F0F1-48DA-AFBC-30AD18F5C282}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{D44231E9-0361-4353-8303-94699742F81F}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{7C37C911-F3B3-40F7-AC43-6C0B2DDBC9C3}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{CA239249-6AAD-4516-8CF1-40DE743454A4}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{F23A30E7-4C19-47FD-AFDA-DA212A956E20}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{650BE1E3-172A-4927-AAEE-D6E86B7E1B5B}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{BFDBD2AD-1CDC-4AB5-8EF7-FE93A937F64D}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{BD8F9A8F-CD39-4997-A91B-56B0A5A8C062}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{7D3BAB0E-5610-4355-97BE-238D15CD0B3B}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{6ED99846-7485-48CD-B101-C2DBF38CEA61}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{AD7EF170-F2FE-45CA-BB75-4968119C57C7}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{673E38C6-675F-402C-920E-5AAA8D3A047B}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{810CD1C7-77B3-40EA-80A7-3F13B3D75503}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{BE385889-0B14-45D5-8E06-0EB068889E3C}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{3E40EA86-3C40-4853-98D5-77D43314B393}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{C7EA1DAB-B92B-4D7E-AC5F-4E6C032338E7}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{751CD9A7-50D9-4416-9874-302FA42BAFE7}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{B6F80F51-CE04-4400-A305-5C7FDA9F0978}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{FCA2B0D7-19E2-4439-B3D7-63B63B26055C}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{0CFC30E2-A585-4BCB-B153-12671F0D5606}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{4A501C9E-CA88-48C8-A41F-16634DB75338}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{F9D6193C-F158-4568-8200-303C2C56AC88}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4.5999999999999999E-2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CA2-4A06-8329-86B6D6749A08}"/>
            </c:ext>
          </c:extLst>
        </c:ser>
        <c:ser>
          <c:idx val="4"/>
          <c:order val="3"/>
          <c:tx>
            <c:strRef>
              <c:f>'ID61'!$S$13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{06F89703-C0E3-4589-8161-D4CC9029C1E4}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{70607C57-91B3-44D3-BCA0-6AC188B2FD29}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{8A486148-A38A-47B3-8297-7237A8039555}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{13300A33-69FD-4047-AE34-E60A3980F351}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{42EF70BA-ABB7-40F7-A164-AD26839FE1A4}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{B76EF671-2180-4E8A-B16B-2EBF18904068}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{A5FC386B-C7CB-4D7F-9E24-000EAF07CD5F}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{EF47F0FD-A9BE-4F61-AE55-1A08846EE580}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{B98DC0B3-C728-42CA-9544-5F0DBA65ED8A}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{6CE271BD-5024-4F10-B905-D595705D37AC}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{37180D27-EEC6-4812-9447-A4F23B37F082}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{A6F63FB8-8D24-4E59-B4D4-8FFED86BF2E8}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{A42C96D2-8339-4D7D-B11A-D245F97D03D0}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{0B0109D4-2C46-4AE3-A8C0-8E6F8FCCE21C}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{5666A101-F26D-4307-9344-ED440EA60A57}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{72FDB8DE-01D3-4063-A0C4-7B52A945E2D0}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{6BDCD682-2904-4552-B38F-1FC3CE37E593}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{25629475-BAED-437E-B4E5-25DEA99E40E5}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{84D6F7D7-D582-4583-A964-4EAB8614D1AB}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{F7B855C7-AFA6-4B8F-88D5-A6F032A7FD97}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{BB713049-6991-4E9C-A3AB-0EDAC7FF2FD1}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{26D86126-D60C-446D-A604-EC5208DD95DC}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{957603EF-A546-4238-B3A5-CE264422AF48}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{B0D7816E-FCC2-40F4-8CA6-467F7888CCFC}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{16E8CB40-4FAE-4E74-8B0B-40D0BBEC0904}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{8473C0EE-B5BD-4456-BC05-635FEFB2DD26}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{9AADBF0C-B3FE-4EDC-BE0A-8414BB10F5DD}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{2E825CE7-31B7-4764-BDE2-F9CCD3CBA998}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1.4999999999999999E-2</c:v>
                </c:pt>
                <c:pt idx="2">
                  <c:v>#N/A</c:v>
                </c:pt>
                <c:pt idx="3">
                  <c:v>#N/A</c:v>
                </c:pt>
                <c:pt idx="4">
                  <c:v>-1.7999999999999999E-2</c:v>
                </c:pt>
                <c:pt idx="5">
                  <c:v>#N/A</c:v>
                </c:pt>
                <c:pt idx="6">
                  <c:v>#N/A</c:v>
                </c:pt>
                <c:pt idx="7">
                  <c:v>-3.5000000000000003E-2</c:v>
                </c:pt>
                <c:pt idx="8">
                  <c:v>#N/A</c:v>
                </c:pt>
                <c:pt idx="9">
                  <c:v>#N/A</c:v>
                </c:pt>
                <c:pt idx="10">
                  <c:v>2E-3</c:v>
                </c:pt>
                <c:pt idx="11">
                  <c:v>5.0000000000000001E-3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2E-3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-1.4E-2</c:v>
                </c:pt>
                <c:pt idx="25">
                  <c:v>#N/A</c:v>
                </c:pt>
                <c:pt idx="26">
                  <c:v>-2.5000000000000001E-2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ACA2-4A06-8329-86B6D6749A08}"/>
            </c:ext>
          </c:extLst>
        </c:ser>
        <c:ser>
          <c:idx val="5"/>
          <c:order val="4"/>
          <c:tx>
            <c:strRef>
              <c:f>'ID61'!$T$13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{820CBCF5-A50B-4B0A-932F-409E86539B3A}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{D6A4CF30-C158-4017-B38D-8FF98B809FAB}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{71B350F2-4612-469D-B53B-9CF0AC962F88}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{919549CE-04D2-4ADC-BD3B-8430319444B4}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{5AC9BB41-B906-440F-8161-07C6B3A1BEA6}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{331F9A01-8990-4BA1-B059-90981BA2C4A3}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{50D0D020-A8D5-4786-9FCD-BACA91CB02D7}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{83B50CDE-A040-419C-9E27-EEDBD403FAC4}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{D64CD8D9-C5A2-4630-AE80-02068FA5A9B9}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{048A2C1B-8B62-4974-9D28-C94FE14903E4}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{1D636139-93AA-4AEF-AC3F-8570047BE65F}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{D47166C4-D967-447C-810A-8C2C5D46601D}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{1CD144FE-F279-4BBF-A5EE-906C360998A9}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{76CB6B41-BD0A-4352-99FA-EEC23CE76F1E}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{086FDFA6-66DE-4305-8B5B-A0C8E92D0859}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{DC005A91-A402-41DC-B68E-438FC217D5E1}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{C1104235-FA98-4D58-B48C-B47F1B919418}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{18498ACF-A14A-48BB-9787-546F24C476F2}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{74969C64-CED5-4562-A75D-FB4CE8DCC3D7}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{2612554B-A93D-41D3-932E-B72E708DCD7D}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{625F2593-BD42-446E-A386-DB254109DD3F}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{76583306-CBD9-4FDC-96EB-01E8D617BAE6}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{511E1A6A-C095-4F00-B79F-D84EA755911E}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{3932B5AB-0CA4-40EF-BCC1-2A97A19E70BE}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{62B14A9D-E752-438E-919D-9DC3ED6708AF}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{F2188BDC-105C-4D56-84EF-95BE5467C6F1}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{1E2AF7AE-AC81-4C7F-9440-C93E6A6B8841}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{6D46042D-4766-4C1E-8A49-8D3435F6F7A9}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'ID61'!$T$14:$T$40</c:f>
              <c:numCache>
                <c:formatCode>General</c:formatCode>
                <c:ptCount val="27"/>
                <c:pt idx="0">
                  <c:v>-1.2E-2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-1E-3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ACA2-4A06-8329-86B6D6749A08}"/>
            </c:ext>
          </c:extLst>
        </c:ser>
        <c:ser>
          <c:idx val="0"/>
          <c:order val="5"/>
          <c:tx>
            <c:strRef>
              <c:f>'ID61'!$U$13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{DCCC8F6C-7B97-445C-9CB8-AD664E7331F7}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{D63292C7-38DF-44E9-9A85-16751B2EF895}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{422C36A3-88BF-4CA8-BDA7-21548B29C947}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{30ADFDF5-F6F9-4CAF-840D-DB5A72391466}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{D82845C0-0D03-491B-8DC5-7881762FFE9D}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{CDE262EF-9204-492A-B6D5-D43376B56F50}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{117F8877-BC53-4AED-8896-5BA413C43E30}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{B5E2788F-38ED-47F0-992D-FE4341E5B282}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{455A436B-87A8-4613-A19C-B1FDE71C4346}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{1A3B0A64-8323-40A3-9783-F28877E876E2}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{A7DFCA9A-D91F-4BBA-9B92-2280909EC412}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{A1EB5F95-BF27-4D5C-9CD6-E154BA704BBF}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{DA010283-EC25-4B86-9F90-E1D5C7C8A2FA}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{1A635C04-A4C7-4903-8533-56149DD81667}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{76EF80DA-77C5-4334-9DB0-E136517FA216}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{2BB33500-3213-4553-9B6A-8D3C3D7E60D9}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{59BB3662-A336-4C12-8BA5-0504AC807CBC}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{AC5442A3-93BA-4265-8C77-D6FE949F0EB5}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{2C850F12-5D7F-4710-A0E2-0DEBD8B41990}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{776CFB31-BA5C-4E67-8EA3-C2ADF225D4FB}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{6C5186A0-E1BD-42B7-867D-FE54293AC38E}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{37D0CEC4-B887-441B-81FB-028F30B68BFE}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{C2411113-FE9A-43F8-8529-3B3AABE06A1C}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{5BEEE67F-0909-4814-BCD7-85139BDE6E0B}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{D4E84656-EAB5-45F7-AB08-6A9DC607681F}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{1FD090B1-129B-488A-808B-603D2F522709}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{7FB85F0D-807A-4510-9477-9F3A5A0492FE}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{2FD8053F-8441-4084-ADDB-A3C6F932ED5D}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-4.0000000000000001E-3</c:v>
                </c:pt>
                <c:pt idx="4">
                  <c:v>#N/A</c:v>
                </c:pt>
                <c:pt idx="5">
                  <c:v>-4.0000000000000001E-3</c:v>
                </c:pt>
                <c:pt idx="6">
                  <c:v>1.4999999999999999E-2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4.0000000000000001E-3</c:v>
                </c:pt>
                <c:pt idx="15">
                  <c:v>#N/A</c:v>
                </c:pt>
                <c:pt idx="16">
                  <c:v>#N/A</c:v>
                </c:pt>
                <c:pt idx="17">
                  <c:v>1.9E-2</c:v>
                </c:pt>
                <c:pt idx="18">
                  <c:v>2.5000000000000001E-2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1.9E-2</c:v>
                </c:pt>
                <c:pt idx="23">
                  <c:v>#N/A</c:v>
                </c:pt>
                <c:pt idx="24">
                  <c:v>#N/A</c:v>
                </c:pt>
                <c:pt idx="25">
                  <c:v>4.0000000000000001E-3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ACA2-4A06-8329-86B6D6749A08}"/>
            </c:ext>
          </c:extLst>
        </c:ser>
        <c:ser>
          <c:idx val="6"/>
          <c:order val="6"/>
          <c:tx>
            <c:strRef>
              <c:f>'ID61'!$V$13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'ID61'!$N$14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{BDA08BF8-8D63-46CA-B3E0-01F327228BFC}</c15:txfldGUID>
                      <c15:f>'ID61'!$N$14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CA2-4A06-8329-86B6D6749A08}"/>
                </c:ext>
              </c:extLst>
            </c:dLbl>
            <c:dLbl>
              <c:idx val="1"/>
              <c:tx>
                <c:strRef>
                  <c:f>'ID61'!$N$15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{0CCCAFC8-9A0F-40EB-B615-CE38B6955C79}</c15:txfldGUID>
                      <c15:f>'ID61'!$N$15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CA2-4A06-8329-86B6D6749A08}"/>
                </c:ext>
              </c:extLst>
            </c:dLbl>
            <c:dLbl>
              <c:idx val="2"/>
              <c:tx>
                <c:strRef>
                  <c:f>'ID61'!$N$16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{F6806219-EDB1-41A0-A044-201E203F2124}</c15:txfldGUID>
                      <c15:f>'ID61'!$N$16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CA2-4A06-8329-86B6D6749A08}"/>
                </c:ext>
              </c:extLst>
            </c:dLbl>
            <c:dLbl>
              <c:idx val="3"/>
              <c:tx>
                <c:strRef>
                  <c:f>'ID61'!$N$17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{10CD5EFB-AFA6-48E4-B025-36CBC5601989}</c15:txfldGUID>
                      <c15:f>'ID61'!$N$17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CA2-4A06-8329-86B6D6749A08}"/>
                </c:ext>
              </c:extLst>
            </c:dLbl>
            <c:dLbl>
              <c:idx val="4"/>
              <c:tx>
                <c:strRef>
                  <c:f>'ID61'!$N$18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{FE0FAB8E-21EA-405E-9131-E7CD2FE43842}</c15:txfldGUID>
                      <c15:f>'ID61'!$N$18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CA2-4A06-8329-86B6D6749A08}"/>
                </c:ext>
              </c:extLst>
            </c:dLbl>
            <c:dLbl>
              <c:idx val="5"/>
              <c:tx>
                <c:strRef>
                  <c:f>'ID61'!$N$19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{5C21BEB9-4523-42CD-89B7-F22DF8DEBBF9}</c15:txfldGUID>
                      <c15:f>'ID61'!$N$19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CA2-4A06-8329-86B6D6749A08}"/>
                </c:ext>
              </c:extLst>
            </c:dLbl>
            <c:dLbl>
              <c:idx val="6"/>
              <c:tx>
                <c:strRef>
                  <c:f>'ID61'!$N$20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{4B48A8BD-F363-4397-8A60-402661D41901}</c15:txfldGUID>
                      <c15:f>'ID61'!$N$20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CA2-4A06-8329-86B6D6749A08}"/>
                </c:ext>
              </c:extLst>
            </c:dLbl>
            <c:dLbl>
              <c:idx val="7"/>
              <c:tx>
                <c:strRef>
                  <c:f>'ID61'!$N$21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{7F79D7F2-5BDF-4DC2-AAE3-900797156F41}</c15:txfldGUID>
                      <c15:f>'ID61'!$N$21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CA2-4A06-8329-86B6D6749A08}"/>
                </c:ext>
              </c:extLst>
            </c:dLbl>
            <c:dLbl>
              <c:idx val="8"/>
              <c:tx>
                <c:strRef>
                  <c:f>'ID61'!$N$22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{B62E08A6-F101-4ED0-95FF-E0992808C03F}</c15:txfldGUID>
                      <c15:f>'ID61'!$N$22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CA2-4A06-8329-86B6D6749A08}"/>
                </c:ext>
              </c:extLst>
            </c:dLbl>
            <c:dLbl>
              <c:idx val="9"/>
              <c:tx>
                <c:strRef>
                  <c:f>'ID61'!$N$23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{B7505C45-F7C5-4E81-9A41-D5B9272BF428}</c15:txfldGUID>
                      <c15:f>'ID61'!$N$23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CA2-4A06-8329-86B6D6749A08}"/>
                </c:ext>
              </c:extLst>
            </c:dLbl>
            <c:dLbl>
              <c:idx val="10"/>
              <c:tx>
                <c:strRef>
                  <c:f>'ID61'!$N$24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{C0B55B0D-AD91-4EA0-8641-168648306005}</c15:txfldGUID>
                      <c15:f>'ID61'!$N$24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CA2-4A06-8329-86B6D6749A08}"/>
                </c:ext>
              </c:extLst>
            </c:dLbl>
            <c:dLbl>
              <c:idx val="11"/>
              <c:tx>
                <c:strRef>
                  <c:f>'ID61'!$N$25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{132DFF46-018A-42AB-93C7-2FAE62E52405}</c15:txfldGUID>
                      <c15:f>'ID61'!$N$25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CA2-4A06-8329-86B6D6749A08}"/>
                </c:ext>
              </c:extLst>
            </c:dLbl>
            <c:dLbl>
              <c:idx val="12"/>
              <c:tx>
                <c:strRef>
                  <c:f>'ID61'!$N$26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{BE378A12-6C3C-4EEE-BFD7-0D562F8D3DA5}</c15:txfldGUID>
                      <c15:f>'ID61'!$N$26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CA2-4A06-8329-86B6D6749A08}"/>
                </c:ext>
              </c:extLst>
            </c:dLbl>
            <c:dLbl>
              <c:idx val="13"/>
              <c:tx>
                <c:strRef>
                  <c:f>'ID61'!$N$27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{9C310C17-7E21-4A91-878B-28D04424564B}</c15:txfldGUID>
                      <c15:f>'ID61'!$N$27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CA2-4A06-8329-86B6D6749A08}"/>
                </c:ext>
              </c:extLst>
            </c:dLbl>
            <c:dLbl>
              <c:idx val="14"/>
              <c:tx>
                <c:strRef>
                  <c:f>'ID61'!$N$28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{5B8A2744-8DF7-4B10-B9AF-01EA98CA9CEF}</c15:txfldGUID>
                      <c15:f>'ID61'!$N$28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CA2-4A06-8329-86B6D6749A08}"/>
                </c:ext>
              </c:extLst>
            </c:dLbl>
            <c:dLbl>
              <c:idx val="15"/>
              <c:tx>
                <c:strRef>
                  <c:f>'ID61'!$N$29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{E603DEE6-219F-48CB-86B1-DF6A6BCA0797}</c15:txfldGUID>
                      <c15:f>'ID61'!$N$29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CA2-4A06-8329-86B6D6749A08}"/>
                </c:ext>
              </c:extLst>
            </c:dLbl>
            <c:dLbl>
              <c:idx val="16"/>
              <c:tx>
                <c:strRef>
                  <c:f>'ID61'!$N$30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{BF5F17C0-0CB8-42F2-B9A2-86123929182E}</c15:txfldGUID>
                      <c15:f>'ID61'!$N$30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CA2-4A06-8329-86B6D6749A08}"/>
                </c:ext>
              </c:extLst>
            </c:dLbl>
            <c:dLbl>
              <c:idx val="17"/>
              <c:tx>
                <c:strRef>
                  <c:f>'ID61'!$N$31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{68D60C91-6B0C-40A6-8E01-7201D7722DA8}</c15:txfldGUID>
                      <c15:f>'ID61'!$N$31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CA2-4A06-8329-86B6D6749A08}"/>
                </c:ext>
              </c:extLst>
            </c:dLbl>
            <c:dLbl>
              <c:idx val="18"/>
              <c:tx>
                <c:strRef>
                  <c:f>'ID61'!$N$32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{771964C5-9B4A-4130-9EC6-CFDA2B6B049E}</c15:txfldGUID>
                      <c15:f>'ID61'!$N$32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CA2-4A06-8329-86B6D6749A08}"/>
                </c:ext>
              </c:extLst>
            </c:dLbl>
            <c:dLbl>
              <c:idx val="19"/>
              <c:tx>
                <c:strRef>
                  <c:f>'ID61'!$N$33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{2D2FFBE7-EC83-43BD-A9AF-2D59658D8785}</c15:txfldGUID>
                      <c15:f>'ID61'!$N$33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CA2-4A06-8329-86B6D6749A08}"/>
                </c:ext>
              </c:extLst>
            </c:dLbl>
            <c:dLbl>
              <c:idx val="20"/>
              <c:tx>
                <c:strRef>
                  <c:f>'ID61'!$N$34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{92862719-DC03-41FB-B9C8-8A0240B954D5}</c15:txfldGUID>
                      <c15:f>'ID61'!$N$34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CA2-4A06-8329-86B6D6749A08}"/>
                </c:ext>
              </c:extLst>
            </c:dLbl>
            <c:dLbl>
              <c:idx val="21"/>
              <c:tx>
                <c:strRef>
                  <c:f>'ID61'!$N$35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{10533920-DF6D-4939-B2C0-19C653813B2C}</c15:txfldGUID>
                      <c15:f>'ID61'!$N$35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CA2-4A06-8329-86B6D6749A08}"/>
                </c:ext>
              </c:extLst>
            </c:dLbl>
            <c:dLbl>
              <c:idx val="22"/>
              <c:tx>
                <c:strRef>
                  <c:f>'ID61'!$N$36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{46E2745F-AA9D-4D80-8D10-DAB1CAA0A1DB}</c15:txfldGUID>
                      <c15:f>'ID61'!$N$36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CA2-4A06-8329-86B6D6749A08}"/>
                </c:ext>
              </c:extLst>
            </c:dLbl>
            <c:dLbl>
              <c:idx val="23"/>
              <c:tx>
                <c:strRef>
                  <c:f>'ID61'!$N$37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{2915D07E-1CD1-40FA-B295-287463201F23}</c15:txfldGUID>
                      <c15:f>'ID61'!$N$37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CA2-4A06-8329-86B6D6749A08}"/>
                </c:ext>
              </c:extLst>
            </c:dLbl>
            <c:dLbl>
              <c:idx val="24"/>
              <c:tx>
                <c:strRef>
                  <c:f>'ID61'!$N$38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{CE0DB41C-47BD-4F92-9DAC-56858EF14D7F}</c15:txfldGUID>
                      <c15:f>'ID61'!$N$38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CA2-4A06-8329-86B6D6749A08}"/>
                </c:ext>
              </c:extLst>
            </c:dLbl>
            <c:dLbl>
              <c:idx val="25"/>
              <c:tx>
                <c:strRef>
                  <c:f>'ID61'!$N$39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{923C763C-74FF-4D32-B95D-AA06EDD9B831}</c15:txfldGUID>
                      <c15:f>'ID61'!$N$39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CA2-4A06-8329-86B6D6749A08}"/>
                </c:ext>
              </c:extLst>
            </c:dLbl>
            <c:dLbl>
              <c:idx val="26"/>
              <c:tx>
                <c:strRef>
                  <c:f>'ID61'!$N$40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{CA64682F-A83E-41AE-B02E-72AA8B8025D1}</c15:txfldGUID>
                      <c15:f>'ID61'!$N$40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CA2-4A06-8329-86B6D6749A08}"/>
                </c:ext>
              </c:extLst>
            </c:dLbl>
            <c:dLbl>
              <c:idx val="27"/>
              <c:tx>
                <c:strRef>
                  <c:f>'ID61'!$N$41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{76E4B7FA-B575-4848-AAB3-77076582313B}</c15:txfldGUID>
                      <c15:f>'ID61'!$N$41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CA2-4A06-8329-86B6D6749A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'ID61'!$O$14:$O$40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3.5999999999999997E-2</c:v>
                </c:pt>
                <c:pt idx="9">
                  <c:v>3.6999999999999998E-2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ACA2-4A06-8329-86B6D6749A08}"/>
            </c:ext>
          </c:extLst>
        </c:ser>
        <c:ser>
          <c:idx val="7"/>
          <c:order val="7"/>
          <c:tx>
            <c:strRef>
              <c:f>'ID61'!$J$48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'ID61'!$K$48:$K$49</c:f>
              <c:numCache>
                <c:formatCode>0.0</c:formatCode>
                <c:ptCount val="2"/>
                <c:pt idx="0">
                  <c:v>81.59</c:v>
                </c:pt>
                <c:pt idx="1">
                  <c:v>160.96</c:v>
                </c:pt>
              </c:numCache>
            </c:numRef>
          </c:xVal>
          <c:yVal>
            <c:numRef>
              <c:f>'ID61'!$L$48:$L$49</c:f>
              <c:numCache>
                <c:formatCode>0.000</c:formatCode>
                <c:ptCount val="2"/>
                <c:pt idx="0" formatCode="General">
                  <c:v>8.5384615384615364E-3</c:v>
                </c:pt>
                <c:pt idx="1">
                  <c:v>8.5384615384615364E-3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ACA2-4A06-8329-86B6D6749A08}"/>
            </c:ext>
          </c:extLst>
        </c:ser>
        <c:ser>
          <c:idx val="8"/>
          <c:order val="8"/>
          <c:tx>
            <c:strRef>
              <c:f>'ID61'!$J$51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'ID61'!$K$51:$K$52</c:f>
              <c:numCache>
                <c:formatCode>0.000</c:formatCode>
                <c:ptCount val="2"/>
                <c:pt idx="0">
                  <c:v>120.22230769230769</c:v>
                </c:pt>
                <c:pt idx="1">
                  <c:v>120.22230769230769</c:v>
                </c:pt>
              </c:numCache>
            </c:numRef>
          </c:xVal>
          <c:yVal>
            <c:numRef>
              <c:f>'ID61'!$L$51:$L$52</c:f>
              <c:numCache>
                <c:formatCode>0.0</c:formatCode>
                <c:ptCount val="2"/>
                <c:pt idx="0">
                  <c:v>-3.5000000000000003E-2</c:v>
                </c:pt>
                <c:pt idx="1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ACA2-4A06-8329-86B6D6749A08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'ID61'!$K$14:$K$40</c:f>
              <c:numCache>
                <c:formatCode>General</c:formatCode>
                <c:ptCount val="27"/>
                <c:pt idx="0">
                  <c:v>98.48</c:v>
                </c:pt>
                <c:pt idx="1">
                  <c:v>106.11</c:v>
                </c:pt>
                <c:pt idx="2">
                  <c:v>#N/A</c:v>
                </c:pt>
                <c:pt idx="3">
                  <c:v>114.61</c:v>
                </c:pt>
                <c:pt idx="4">
                  <c:v>121.58</c:v>
                </c:pt>
                <c:pt idx="5">
                  <c:v>112.88</c:v>
                </c:pt>
                <c:pt idx="6">
                  <c:v>122.57</c:v>
                </c:pt>
                <c:pt idx="7">
                  <c:v>125.96</c:v>
                </c:pt>
                <c:pt idx="8">
                  <c:v>81.59</c:v>
                </c:pt>
                <c:pt idx="9">
                  <c:v>101.09</c:v>
                </c:pt>
                <c:pt idx="10">
                  <c:v>107.88</c:v>
                </c:pt>
                <c:pt idx="11">
                  <c:v>110.71</c:v>
                </c:pt>
                <c:pt idx="12">
                  <c:v>130.62</c:v>
                </c:pt>
                <c:pt idx="13">
                  <c:v>154.58000000000001</c:v>
                </c:pt>
                <c:pt idx="14">
                  <c:v>111.81</c:v>
                </c:pt>
                <c:pt idx="15">
                  <c:v>94.01</c:v>
                </c:pt>
                <c:pt idx="16">
                  <c:v>140.62</c:v>
                </c:pt>
                <c:pt idx="17">
                  <c:v>113.32</c:v>
                </c:pt>
                <c:pt idx="18">
                  <c:v>126.08</c:v>
                </c:pt>
                <c:pt idx="19">
                  <c:v>152.78</c:v>
                </c:pt>
                <c:pt idx="20">
                  <c:v>109.36</c:v>
                </c:pt>
                <c:pt idx="21">
                  <c:v>152.02000000000001</c:v>
                </c:pt>
                <c:pt idx="22">
                  <c:v>112.75</c:v>
                </c:pt>
                <c:pt idx="23">
                  <c:v>160.96</c:v>
                </c:pt>
                <c:pt idx="24">
                  <c:v>119.54</c:v>
                </c:pt>
                <c:pt idx="25">
                  <c:v>120.65</c:v>
                </c:pt>
                <c:pt idx="26">
                  <c:v>123.22</c:v>
                </c:pt>
              </c:numCache>
            </c:numRef>
          </c:xVal>
          <c:yVal>
            <c:numRef>
              <c:f>'ID61'!$L$14:$L$40</c:f>
              <c:numCache>
                <c:formatCode>General</c:formatCode>
                <c:ptCount val="27"/>
                <c:pt idx="0">
                  <c:v>-1.2E-2</c:v>
                </c:pt>
                <c:pt idx="1">
                  <c:v>1.4999999999999999E-2</c:v>
                </c:pt>
                <c:pt idx="2">
                  <c:v>#N/A</c:v>
                </c:pt>
                <c:pt idx="3">
                  <c:v>-4.0000000000000001E-3</c:v>
                </c:pt>
                <c:pt idx="4">
                  <c:v>-1.7999999999999999E-2</c:v>
                </c:pt>
                <c:pt idx="5">
                  <c:v>-4.0000000000000001E-3</c:v>
                </c:pt>
                <c:pt idx="6">
                  <c:v>1.4999999999999999E-2</c:v>
                </c:pt>
                <c:pt idx="7">
                  <c:v>-3.5000000000000003E-2</c:v>
                </c:pt>
                <c:pt idx="8">
                  <c:v>3.5999999999999997E-2</c:v>
                </c:pt>
                <c:pt idx="9">
                  <c:v>3.6999999999999998E-2</c:v>
                </c:pt>
                <c:pt idx="10">
                  <c:v>2E-3</c:v>
                </c:pt>
                <c:pt idx="11">
                  <c:v>5.0000000000000001E-3</c:v>
                </c:pt>
                <c:pt idx="12">
                  <c:v>4.5999999999999999E-2</c:v>
                </c:pt>
                <c:pt idx="13">
                  <c:v>2.1999999999999999E-2</c:v>
                </c:pt>
                <c:pt idx="14">
                  <c:v>4.0000000000000001E-3</c:v>
                </c:pt>
                <c:pt idx="15">
                  <c:v>-1E-3</c:v>
                </c:pt>
                <c:pt idx="16">
                  <c:v>7.0000000000000001E-3</c:v>
                </c:pt>
                <c:pt idx="17">
                  <c:v>1.9E-2</c:v>
                </c:pt>
                <c:pt idx="18">
                  <c:v>2.5000000000000001E-2</c:v>
                </c:pt>
                <c:pt idx="19">
                  <c:v>5.7000000000000002E-2</c:v>
                </c:pt>
                <c:pt idx="20">
                  <c:v>2E-3</c:v>
                </c:pt>
                <c:pt idx="21">
                  <c:v>1.2999999999999999E-2</c:v>
                </c:pt>
                <c:pt idx="22">
                  <c:v>1.9E-2</c:v>
                </c:pt>
                <c:pt idx="23">
                  <c:v>7.0000000000000001E-3</c:v>
                </c:pt>
                <c:pt idx="24">
                  <c:v>-1.4E-2</c:v>
                </c:pt>
                <c:pt idx="25">
                  <c:v>4.0000000000000001E-3</c:v>
                </c:pt>
                <c:pt idx="26">
                  <c:v>-2.5000000000000001E-2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CA2-4A06-8329-86B6D6749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'ID61'!$K$5</c:f>
              <c:strCache>
                <c:ptCount val="1"/>
                <c:pt idx="0">
                  <c:v>Gross disposable household income (GDHI) per capita growth (index, 2008=100)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'ID61'!$K$9</c:f>
              <c:strCache>
                <c:ptCount val="1"/>
                <c:pt idx="0">
                  <c:v>Gross disposable household income (GDHI) per capita growth (index, 2008=100)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'ID66'!$P$13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{32A494A3-3FC4-4F3A-A21F-241437191B96}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{434E7828-EA91-4B86-8E84-775CCD1DB7C3}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{564D7B6B-E5B7-489B-A2D7-23CBBEF8A74F}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{333CEA7C-5DB1-40AA-B5F2-7F1C39D0B28A}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{7E41D7B0-7B20-4B2D-9550-B977DF863603}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{21D72C26-F37F-42EB-A139-A4BB3CA1FC3A}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{7A9D1F09-0481-4B31-A9A6-FD22F38F75C3}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{E7F3ABDC-DB30-423A-B300-B031EBEA5C4A}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{E5DE35A8-BD86-4691-8B6F-40596B61C742}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{3DD18C30-346D-4F14-88B5-94DC717D99BE}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{49665F58-FF2A-4DE8-B9C5-2E2923EB91CD}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{7AFB221E-CEC4-4238-9D71-1276F610FF06}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{813F0400-65EB-47F2-8E99-8A2F2888911A}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{459E588E-B93B-4224-AB0B-91C1A79F62EE}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{25B3B47B-3E11-4212-A351-A0B1A0D107B5}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{CF36502F-F3D8-4F91-BCA3-D9D45A0668B2}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{20C3769D-F650-4053-B7DC-6FE9725BB1DF}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{E259BEB3-0E98-4795-8C7B-40D564CFADD3}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{AA78969A-6B40-42E4-AAF9-22816ECF7196}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{26AA3598-3E57-4578-BFC2-5E4B0B7E5013}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{4DDB385E-E60C-4EB9-9E0C-E5206BB4AADD}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{13D3778C-AD0B-46DF-96D4-A4A78F709F4F}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{73311063-C651-4804-A7F0-CF31DA784181}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{46D446C5-986A-418E-926F-043A0966CA48}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{48586E15-5D86-4E90-B17D-B6D8C54E5798}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{2D7233E0-50FC-4F57-B91E-4BFE49B216A3}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{03F69DAB-3B74-441E-A60C-83AFB05DD37B}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{9E856075-08BF-411F-B434-9DFFEEE5D4E5}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05-4408-9FDD-45A8768CE5DC}"/>
            </c:ext>
          </c:extLst>
        </c:ser>
        <c:ser>
          <c:idx val="2"/>
          <c:order val="1"/>
          <c:tx>
            <c:strRef>
              <c:f>'ID66'!$Q$13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{C6D712F3-FEA7-4689-A1C1-68D8D58453CC}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{10AE4882-8DDD-4C87-957B-8D282B44998E}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{AAF95139-8FF3-4DFC-80A8-EB2FAF70EBB3}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{167E06CB-F37C-4EC1-9FC3-C4DF4AA35197}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{6A4B9F93-082F-493A-89AF-FF6317BB2A74}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{E003830B-286C-4E5B-B211-065BC501F4FE}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{1788707A-10CC-4DE9-AAE1-AF390C418E74}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{70C54317-D772-432B-98A6-E2373A19954E}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{2019892F-5D54-4F81-A512-25D4BC3256EF}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{1F406009-EF5A-4B08-A4B3-769A8F1E88BE}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{B0B2203A-81E1-4130-90DF-72C1B1320D7D}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{EB483C4A-B4C5-470B-BCFC-739FCC32DB11}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{61485821-5853-4D8F-8034-B09D10BA6A2B}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{80C675E0-DA41-47F1-810C-1C26EB8F9525}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{15A0691E-A023-4C80-82A8-8F4589DEA42B}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{9FE38FB9-52B9-42E4-B279-29796FEA6BD0}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{1D1482F4-2C02-476F-82EF-B622EF8FB8F9}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{BA13A2C6-B209-4860-AC83-EEAA6170DD51}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{929BF93A-2FB2-4D67-88D6-0C7B59EE911B}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{F834DC90-7BA4-41D8-B306-FD0D86FE75D7}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{8663BAF5-6B57-4668-BAD1-CD73618C6D6D}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{560F7C3A-3823-4836-A301-3807C57BA750}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{723DB67D-8587-4974-BE7C-0A45C99CD7AB}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{C571184C-9E03-4349-8A03-0DDA5EAD6B96}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{73FD67A4-CA5A-4F0D-966F-23509BA36D50}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{8264BF99-3694-4262-ABD0-3EFBEE7A84A9}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{BA2E2446-7B5C-4CCC-9ACC-6F800F5D0128}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{3F171F7C-2D44-4E54-A43B-636415D06ECC}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-0.7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D05-4408-9FDD-45A8768CE5DC}"/>
            </c:ext>
          </c:extLst>
        </c:ser>
        <c:ser>
          <c:idx val="3"/>
          <c:order val="2"/>
          <c:tx>
            <c:strRef>
              <c:f>'ID66'!$R$13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{30179569-7C94-42F9-ABA9-0F0186C56F42}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{34F37BFA-4AB9-4989-9960-518EB4CDC94B}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{651AF8EC-35BF-4304-9A5F-8B2D35531692}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{158C1C1E-0134-451F-8A28-0E2C17D3159D}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{FF7E6F07-5303-4C7F-9E99-654F3C712663}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{1D87D989-77A9-4523-8E14-0A1AAC393B53}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{BD6F96FE-1CB5-41EA-AF0B-87761D05E6AC}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{12F442F1-92E9-4C85-BA74-A58BE80CE779}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{3840075F-9871-40C1-80DE-A7AA2481E9A3}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{E52F3C5D-F5D9-47A5-8EC9-FDDD546E30C3}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{42D93B06-C557-4523-B79D-C29C3F2C06B8}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{3A4F6BBC-CCE8-4D3E-869B-108F6874EE2B}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{9B677579-C59E-4A51-8476-EABFE91EE538}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{0479DADE-D123-4E38-A4E7-C6A6C481F2FE}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{FF541A6A-4845-4553-A91A-DCE671B99658}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{A6F24E0E-D34A-4AE3-8C82-A888B6BD2929}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{F74AE8A4-FE13-4E55-8D58-7457D63E22AA}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{FC80CE7A-51AA-408B-BC8B-38AFCA645C4D}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{3C7F39CD-22DC-4B19-B0CF-0F31D9991F7A}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{FB54BE34-D95A-49F3-97B3-77551648F339}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{1B75605F-9BAD-4987-AEEA-1AD5D03A9350}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{E646F1D7-7177-4273-8B72-012C641049AC}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{B162AA18-E547-4971-A298-FCFFA85DAABD}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{733CAB35-5F8D-4383-9941-F1DE06E08980}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{0C482ACE-EC5B-4CD5-BE2E-36E0F89FFC32}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{BEB0E66E-DEA1-411B-9788-AF295D49C447}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{6843A06D-EA26-4DB5-8EF2-4EB4D2CBB92B}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{626E038F-F835-49C4-A306-E55CF54420D4}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'ID66'!$R$14:$R$40</c:f>
              <c:numCache>
                <c:formatCode>General</c:formatCode>
                <c:ptCount val="27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0.8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-1.6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D05-4408-9FDD-45A8768CE5DC}"/>
            </c:ext>
          </c:extLst>
        </c:ser>
        <c:ser>
          <c:idx val="4"/>
          <c:order val="3"/>
          <c:tx>
            <c:strRef>
              <c:f>'ID66'!$S$13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{07825273-BB99-48B8-868F-7772907398E9}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{06E220B6-D38F-4730-833C-364F0DCFB6E4}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{FCD5148B-CA18-4666-AA03-89802BAC06C8}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{5FF0C69D-39EC-450E-ADC0-47CA1F67CED5}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{7B8A6285-790C-4F28-85B7-B8A9B09CE58C}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{A5CA39BB-4760-4D0B-B96E-C7E87BEDAA60}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{606D864B-CBA1-42AB-965D-E7BFAFD71760}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{9961F405-0FEB-4B6B-AFF9-D3107B526DBE}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{8E042F27-A5BB-451F-8B75-12919C491864}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{56096EBC-7024-4928-B376-E5D6E3DAEFEA}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{71916796-AB2B-4F7E-A52F-59FB6F2F7A4B}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{E42B9364-111A-437F-8EB2-9C8A37AD3E92}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{54E6ACE3-6241-4C9D-918E-77EFA3BF8AA9}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{82B00257-4B77-41F8-8B50-2FB33BDF688B}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{C6901272-2F19-443A-8A15-C1D12082EE13}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{3F342040-F6BF-4B14-B58D-0230FA2B0CC9}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{568FF18E-9889-4702-9196-B0462676D16E}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{A1FFD695-E51B-4733-BBE2-A7BD1E3A1AFE}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{1CA16960-8012-4C0B-AD76-38C4D592884C}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{0CFA930D-DE0A-43D0-8DAD-036E2872C0AB}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{84D0ECF9-5C0D-4CC2-8E48-A3EECE190D83}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{F95C34C2-97B4-4B02-86D8-55A1188FC83B}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{AE5922E5-EFA9-4162-A5ED-493464A75EBB}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{43C71305-C77B-42F7-B2A6-85E0F7E42934}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{0B080B48-FF14-432F-9C69-883F37EC2A6B}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{7635DF81-2C9E-4A51-A66E-27274C591319}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{313C5959-FE97-4667-8B9C-3267070A1C42}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{5C495D14-9623-4D20-BBC1-574EF9EFF7AF}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1.3</c:v>
                </c:pt>
                <c:pt idx="14">
                  <c:v>#N/A</c:v>
                </c:pt>
                <c:pt idx="15">
                  <c:v>#N/A</c:v>
                </c:pt>
                <c:pt idx="16">
                  <c:v>-0.3</c:v>
                </c:pt>
                <c:pt idx="17">
                  <c:v>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D05-4408-9FDD-45A8768CE5DC}"/>
            </c:ext>
          </c:extLst>
        </c:ser>
        <c:ser>
          <c:idx val="5"/>
          <c:order val="4"/>
          <c:tx>
            <c:strRef>
              <c:f>'ID66'!$T$13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{F8F53A4D-74F1-43A8-B71B-A48406A0641A}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{861EF9B3-1D7F-42B5-9517-490981E2178B}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{C1DC3D0F-6D89-44A0-9D7F-AD62C54D9260}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{323A96F8-78DC-40BC-A856-A43B9F130F00}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{0B04869E-B7E6-40EB-BDBE-891FFF440668}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{24E7F1BD-36A2-450F-822C-5403C210B4D9}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{8D96B5BE-6BFF-441D-94C9-A1A3040631DB}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{83838D2E-2317-4E2A-90C4-B69EBB3E1A75}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{3733A361-0C97-4B38-9B13-82065117E322}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{3799CB90-1248-4A82-814B-0A7749E652BB}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{8AED3CE9-7279-4055-8DAA-F556F83446B6}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{2D818304-66F1-4957-854A-B1538BF71662}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{A529647A-69FD-4706-A22F-8B5DB5305A35}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{31FD88C1-C718-443D-97E0-287E4DD10643}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{825A9648-D957-4FA8-8654-C80986E3C83D}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{11EDC505-74D2-4D87-8BD3-84360628DFDC}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{04AD9E28-60C6-4078-9713-8F233F31758A}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{4425FE5C-ED1E-43DC-B111-7675AFC43ABE}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{F8861198-6A59-4E2F-B9AA-8479C0E790FC}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{8B52AF23-761D-4120-9BC6-C675F8B0BE2D}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{EDDC1E75-F946-44F1-A126-C031F8AA606B}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{FDC2B152-D701-435F-A085-3F201A8DF1EC}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{8D1B2C81-BF81-472D-A74A-0394BA12F3AE}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{86CAA6C7-25D7-43A3-B7F9-6DD4C3231ED0}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{1A2C07D8-C8DE-41AB-AF2B-26B907A3F354}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{24AA8E6D-824E-4527-B799-D3227217D2AD}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{223A0094-7CCA-4CEF-9A37-5C4A9B1B7229}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{9A2806A7-1D9D-44ED-8214-F60BCCF7E8AD}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-0.2</c:v>
                </c:pt>
                <c:pt idx="9">
                  <c:v>0.5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-0.4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D05-4408-9FDD-45A8768CE5DC}"/>
            </c:ext>
          </c:extLst>
        </c:ser>
        <c:ser>
          <c:idx val="0"/>
          <c:order val="5"/>
          <c:tx>
            <c:strRef>
              <c:f>'ID66'!$U$13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{0EFB4052-1013-45B8-AEBC-CB0663E78956}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{2C50D6B9-376E-461C-9720-B0CEFCC9547A}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{17E28F7B-3FAC-4800-96A6-13C41212DDBA}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{39449AD4-12D1-47DB-83BC-5A60E3359CB9}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{22EC2C2C-872E-4E59-B74F-AA693264D42A}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{F4BE82AA-4B2F-4B66-8616-699CA22FDDC6}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{E3F8BD79-E368-453F-B734-C82B964C54BD}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{11BB2FB2-A2AF-43E3-AE75-011C65F7BD12}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{5CEC8293-2C12-4BA7-AEE1-1B78D0C21BC5}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{A0574D88-D70D-4C54-9F10-77DF48DE7B76}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{C8767CC8-F737-4377-BB8D-5AE40E6E1DCE}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{105D9C64-C0FB-4425-BF43-83806C7ED047}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{3AC28EE3-7809-420B-817F-EB29D5E4468C}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{60EAE3F0-FEF5-4488-B7D9-45B7EE96EC18}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{29DE2D50-065D-42A6-8AD0-A3E9132CF701}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{5526FAB5-54ED-4E18-922A-40BC356E41D9}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{41ED0191-6156-4CF5-BE4D-1F744E70D912}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{3A0801EB-59A2-4D9F-80F3-43B083C3915A}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{7A188DC3-96F3-44B3-87DD-912DCAFDC1D7}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{CA8F949C-04F4-439B-87B8-CDB7FBDC0B6F}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{BB91CB98-9DC3-4F64-8502-44241D535065}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{30A9076C-719F-43A9-BD0A-0537022A44C3}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{27099C00-7163-4EA1-B0BC-C4432EF0845C}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{AB5705CA-E59B-45D2-92CB-7934454E9363}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{E98A93FD-3FA6-48DB-931C-113C5DEA5148}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{2105A58B-5382-4D1E-B5DD-A180CDFE2F91}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{65B91FFE-4771-407D-BB56-144B8A488DD2}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{E1C0AB49-7CBC-4D36-920B-03326EE41CF2}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-0.1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-0.3</c:v>
                </c:pt>
                <c:pt idx="12">
                  <c:v>0.8</c:v>
                </c:pt>
                <c:pt idx="13">
                  <c:v>#N/A</c:v>
                </c:pt>
                <c:pt idx="14">
                  <c:v>-0.4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-0.3</c:v>
                </c:pt>
                <c:pt idx="20">
                  <c:v>#N/A</c:v>
                </c:pt>
                <c:pt idx="21">
                  <c:v>#N/A</c:v>
                </c:pt>
                <c:pt idx="22">
                  <c:v>0</c:v>
                </c:pt>
                <c:pt idx="23">
                  <c:v>#N/A</c:v>
                </c:pt>
                <c:pt idx="24">
                  <c:v>-0.2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D05-4408-9FDD-45A8768CE5DC}"/>
            </c:ext>
          </c:extLst>
        </c:ser>
        <c:ser>
          <c:idx val="6"/>
          <c:order val="6"/>
          <c:tx>
            <c:strRef>
              <c:f>'ID66'!$V$13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'ID66'!$N$14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{781521F0-EAC0-44E8-B559-8B956F0AFE4D}</c15:txfldGUID>
                      <c15:f>'ID66'!$N$14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D05-4408-9FDD-45A8768CE5DC}"/>
                </c:ext>
              </c:extLst>
            </c:dLbl>
            <c:dLbl>
              <c:idx val="1"/>
              <c:tx>
                <c:strRef>
                  <c:f>'ID66'!$N$15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{31007EF3-40DB-4F48-ADB4-3661007C874F}</c15:txfldGUID>
                      <c15:f>'ID66'!$N$15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D05-4408-9FDD-45A8768CE5DC}"/>
                </c:ext>
              </c:extLst>
            </c:dLbl>
            <c:dLbl>
              <c:idx val="2"/>
              <c:tx>
                <c:strRef>
                  <c:f>'ID66'!$N$16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{FC83C953-FFB8-4442-A80E-D41E5FB51227}</c15:txfldGUID>
                      <c15:f>'ID66'!$N$16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D05-4408-9FDD-45A8768CE5DC}"/>
                </c:ext>
              </c:extLst>
            </c:dLbl>
            <c:dLbl>
              <c:idx val="3"/>
              <c:tx>
                <c:strRef>
                  <c:f>'ID66'!$N$17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{A4A5377E-93ED-454F-BD13-4ED332FA9D7E}</c15:txfldGUID>
                      <c15:f>'ID66'!$N$17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D05-4408-9FDD-45A8768CE5DC}"/>
                </c:ext>
              </c:extLst>
            </c:dLbl>
            <c:dLbl>
              <c:idx val="4"/>
              <c:tx>
                <c:strRef>
                  <c:f>'ID66'!$N$18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{45C8B94F-1AEC-42DF-B1B4-860EAA9CA7D0}</c15:txfldGUID>
                      <c15:f>'ID66'!$N$18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D05-4408-9FDD-45A8768CE5DC}"/>
                </c:ext>
              </c:extLst>
            </c:dLbl>
            <c:dLbl>
              <c:idx val="5"/>
              <c:tx>
                <c:strRef>
                  <c:f>'ID66'!$N$19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{CF5236B3-85B2-4EB3-8395-2E98AAE77762}</c15:txfldGUID>
                      <c15:f>'ID66'!$N$19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D05-4408-9FDD-45A8768CE5DC}"/>
                </c:ext>
              </c:extLst>
            </c:dLbl>
            <c:dLbl>
              <c:idx val="6"/>
              <c:tx>
                <c:strRef>
                  <c:f>'ID66'!$N$20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{0202597B-6E54-44FA-9594-5E37211539C5}</c15:txfldGUID>
                      <c15:f>'ID66'!$N$20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D05-4408-9FDD-45A8768CE5DC}"/>
                </c:ext>
              </c:extLst>
            </c:dLbl>
            <c:dLbl>
              <c:idx val="7"/>
              <c:tx>
                <c:strRef>
                  <c:f>'ID66'!$N$21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{130FDAA6-275B-490A-8571-6DD4067327F6}</c15:txfldGUID>
                      <c15:f>'ID66'!$N$21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D05-4408-9FDD-45A8768CE5DC}"/>
                </c:ext>
              </c:extLst>
            </c:dLbl>
            <c:dLbl>
              <c:idx val="8"/>
              <c:tx>
                <c:strRef>
                  <c:f>'ID66'!$N$22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{ABF0CA85-479E-4C88-AB3C-A4B1E69D5617}</c15:txfldGUID>
                      <c15:f>'ID66'!$N$22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D05-4408-9FDD-45A8768CE5DC}"/>
                </c:ext>
              </c:extLst>
            </c:dLbl>
            <c:dLbl>
              <c:idx val="9"/>
              <c:tx>
                <c:strRef>
                  <c:f>'ID66'!$N$23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{CAF9B300-24CA-48F6-9AED-4B27D8B02C3C}</c15:txfldGUID>
                      <c15:f>'ID66'!$N$23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D05-4408-9FDD-45A8768CE5DC}"/>
                </c:ext>
              </c:extLst>
            </c:dLbl>
            <c:dLbl>
              <c:idx val="10"/>
              <c:tx>
                <c:strRef>
                  <c:f>'ID66'!$N$24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{F1801399-FEB0-4199-8B6F-60139BB95250}</c15:txfldGUID>
                      <c15:f>'ID66'!$N$24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D05-4408-9FDD-45A8768CE5DC}"/>
                </c:ext>
              </c:extLst>
            </c:dLbl>
            <c:dLbl>
              <c:idx val="11"/>
              <c:tx>
                <c:strRef>
                  <c:f>'ID66'!$N$25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{5ECA9582-143B-42CD-BFA3-8D3A42F9F714}</c15:txfldGUID>
                      <c15:f>'ID66'!$N$25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D05-4408-9FDD-45A8768CE5DC}"/>
                </c:ext>
              </c:extLst>
            </c:dLbl>
            <c:dLbl>
              <c:idx val="12"/>
              <c:tx>
                <c:strRef>
                  <c:f>'ID66'!$N$26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{2BA8AB6F-3420-4BA7-A438-FA1EB2CB5F27}</c15:txfldGUID>
                      <c15:f>'ID66'!$N$26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D05-4408-9FDD-45A8768CE5DC}"/>
                </c:ext>
              </c:extLst>
            </c:dLbl>
            <c:dLbl>
              <c:idx val="13"/>
              <c:tx>
                <c:strRef>
                  <c:f>'ID66'!$N$27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{2DBD4229-2327-4DB8-98B0-4FC95F093E69}</c15:txfldGUID>
                      <c15:f>'ID66'!$N$27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D05-4408-9FDD-45A8768CE5DC}"/>
                </c:ext>
              </c:extLst>
            </c:dLbl>
            <c:dLbl>
              <c:idx val="14"/>
              <c:tx>
                <c:strRef>
                  <c:f>'ID66'!$N$28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{3363790D-64BA-48CE-B47D-3386EDC373CF}</c15:txfldGUID>
                      <c15:f>'ID66'!$N$28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D05-4408-9FDD-45A8768CE5DC}"/>
                </c:ext>
              </c:extLst>
            </c:dLbl>
            <c:dLbl>
              <c:idx val="15"/>
              <c:tx>
                <c:strRef>
                  <c:f>'ID66'!$N$29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{5635C921-5FB0-4FAC-BAFF-FE37B52C0885}</c15:txfldGUID>
                      <c15:f>'ID66'!$N$29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D05-4408-9FDD-45A8768CE5DC}"/>
                </c:ext>
              </c:extLst>
            </c:dLbl>
            <c:dLbl>
              <c:idx val="16"/>
              <c:tx>
                <c:strRef>
                  <c:f>'ID66'!$N$30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{657BAD9E-00B1-48A3-941E-E89D0DEB471E}</c15:txfldGUID>
                      <c15:f>'ID66'!$N$30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D05-4408-9FDD-45A8768CE5DC}"/>
                </c:ext>
              </c:extLst>
            </c:dLbl>
            <c:dLbl>
              <c:idx val="17"/>
              <c:tx>
                <c:strRef>
                  <c:f>'ID66'!$N$31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{9DAA67BD-5FC3-491A-BF7C-D37DF75C2CC0}</c15:txfldGUID>
                      <c15:f>'ID66'!$N$31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D05-4408-9FDD-45A8768CE5DC}"/>
                </c:ext>
              </c:extLst>
            </c:dLbl>
            <c:dLbl>
              <c:idx val="18"/>
              <c:tx>
                <c:strRef>
                  <c:f>'ID66'!$N$32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{B91F7359-FDD5-4E92-849D-92DDFAF66D0E}</c15:txfldGUID>
                      <c15:f>'ID66'!$N$32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D05-4408-9FDD-45A8768CE5DC}"/>
                </c:ext>
              </c:extLst>
            </c:dLbl>
            <c:dLbl>
              <c:idx val="19"/>
              <c:tx>
                <c:strRef>
                  <c:f>'ID66'!$N$33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{FF89322D-CAB4-43B9-B658-3802916F357C}</c15:txfldGUID>
                      <c15:f>'ID66'!$N$33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D05-4408-9FDD-45A8768CE5DC}"/>
                </c:ext>
              </c:extLst>
            </c:dLbl>
            <c:dLbl>
              <c:idx val="20"/>
              <c:tx>
                <c:strRef>
                  <c:f>'ID66'!$N$34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{367B0EB8-EFB0-441B-83A6-C98C3BA1A11E}</c15:txfldGUID>
                      <c15:f>'ID66'!$N$34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D05-4408-9FDD-45A8768CE5DC}"/>
                </c:ext>
              </c:extLst>
            </c:dLbl>
            <c:dLbl>
              <c:idx val="21"/>
              <c:tx>
                <c:strRef>
                  <c:f>'ID66'!$N$35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{B0D8CA89-ACBA-462C-9F43-03A74D0B2C3D}</c15:txfldGUID>
                      <c15:f>'ID66'!$N$35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D05-4408-9FDD-45A8768CE5DC}"/>
                </c:ext>
              </c:extLst>
            </c:dLbl>
            <c:dLbl>
              <c:idx val="22"/>
              <c:tx>
                <c:strRef>
                  <c:f>'ID66'!$N$36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{4305E1F2-B989-4C53-BA58-869BF86C80D7}</c15:txfldGUID>
                      <c15:f>'ID66'!$N$36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D05-4408-9FDD-45A8768CE5DC}"/>
                </c:ext>
              </c:extLst>
            </c:dLbl>
            <c:dLbl>
              <c:idx val="23"/>
              <c:tx>
                <c:strRef>
                  <c:f>'ID66'!$N$37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{99B97F5F-9A8B-424C-9A82-BBFDFE59D332}</c15:txfldGUID>
                      <c15:f>'ID66'!$N$37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D05-4408-9FDD-45A8768CE5DC}"/>
                </c:ext>
              </c:extLst>
            </c:dLbl>
            <c:dLbl>
              <c:idx val="24"/>
              <c:tx>
                <c:strRef>
                  <c:f>'ID66'!$N$38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{4DB40682-1D10-44C7-A355-C86973DAE37E}</c15:txfldGUID>
                      <c15:f>'ID66'!$N$38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D05-4408-9FDD-45A8768CE5DC}"/>
                </c:ext>
              </c:extLst>
            </c:dLbl>
            <c:dLbl>
              <c:idx val="25"/>
              <c:tx>
                <c:strRef>
                  <c:f>'ID66'!$N$39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{AAF99A06-FEA1-4EBA-B9F0-294BE66BB6D4}</c15:txfldGUID>
                      <c15:f>'ID66'!$N$39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D05-4408-9FDD-45A8768CE5DC}"/>
                </c:ext>
              </c:extLst>
            </c:dLbl>
            <c:dLbl>
              <c:idx val="26"/>
              <c:tx>
                <c:strRef>
                  <c:f>'ID66'!$N$40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{1C1FE79C-BE29-4EDF-ADA5-2D057C335CC1}</c15:txfldGUID>
                      <c15:f>'ID66'!$N$40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D05-4408-9FDD-45A8768CE5DC}"/>
                </c:ext>
              </c:extLst>
            </c:dLbl>
            <c:dLbl>
              <c:idx val="27"/>
              <c:tx>
                <c:strRef>
                  <c:f>'ID66'!$N$41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{0E175022-ABB2-40AB-8440-9A7906C1976F}</c15:txfldGUID>
                      <c15:f>'ID66'!$N$41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D05-4408-9FDD-45A8768CE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'ID66'!$O$14:$O$40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-2.2000000000000002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D05-4408-9FDD-45A8768CE5DC}"/>
            </c:ext>
          </c:extLst>
        </c:ser>
        <c:ser>
          <c:idx val="7"/>
          <c:order val="7"/>
          <c:tx>
            <c:strRef>
              <c:f>'ID66'!$J$48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'ID66'!$K$48:$K$49</c:f>
              <c:numCache>
                <c:formatCode>0.0</c:formatCode>
                <c:ptCount val="2"/>
                <c:pt idx="0">
                  <c:v>12</c:v>
                </c:pt>
                <c:pt idx="1">
                  <c:v>32</c:v>
                </c:pt>
              </c:numCache>
            </c:numRef>
          </c:xVal>
          <c:yVal>
            <c:numRef>
              <c:f>'ID66'!$L$48:$L$49</c:f>
              <c:numCache>
                <c:formatCode>0.000</c:formatCode>
                <c:ptCount val="2"/>
                <c:pt idx="0" formatCode="General">
                  <c:v>-9.9999999999999978E-2</c:v>
                </c:pt>
                <c:pt idx="1">
                  <c:v>-9.9999999999999978E-2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D05-4408-9FDD-45A8768CE5DC}"/>
            </c:ext>
          </c:extLst>
        </c:ser>
        <c:ser>
          <c:idx val="8"/>
          <c:order val="8"/>
          <c:tx>
            <c:strRef>
              <c:f>'ID66'!$J$51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'ID66'!$K$51:$K$52</c:f>
              <c:numCache>
                <c:formatCode>0.000</c:formatCode>
                <c:ptCount val="2"/>
                <c:pt idx="0">
                  <c:v>20.540740740740745</c:v>
                </c:pt>
                <c:pt idx="1">
                  <c:v>20.540740740740745</c:v>
                </c:pt>
              </c:numCache>
            </c:numRef>
          </c:xVal>
          <c:yVal>
            <c:numRef>
              <c:f>'ID66'!$L$51:$L$52</c:f>
              <c:numCache>
                <c:formatCode>0.0</c:formatCode>
                <c:ptCount val="2"/>
                <c:pt idx="0">
                  <c:v>-2.4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D05-4408-9FDD-45A8768CE5DC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'ID66'!$K$14:$K$40</c:f>
              <c:numCache>
                <c:formatCode>General</c:formatCode>
                <c:ptCount val="27"/>
                <c:pt idx="0">
                  <c:v>17.7</c:v>
                </c:pt>
                <c:pt idx="1">
                  <c:v>18.600000000000001</c:v>
                </c:pt>
                <c:pt idx="2">
                  <c:v>30</c:v>
                </c:pt>
                <c:pt idx="3">
                  <c:v>16.7</c:v>
                </c:pt>
                <c:pt idx="4">
                  <c:v>12</c:v>
                </c:pt>
                <c:pt idx="5">
                  <c:v>21.3</c:v>
                </c:pt>
                <c:pt idx="6">
                  <c:v>17.899999999999999</c:v>
                </c:pt>
                <c:pt idx="7">
                  <c:v>24.2</c:v>
                </c:pt>
                <c:pt idx="8">
                  <c:v>26.1</c:v>
                </c:pt>
                <c:pt idx="9">
                  <c:v>26.5</c:v>
                </c:pt>
                <c:pt idx="10">
                  <c:v>15.8</c:v>
                </c:pt>
                <c:pt idx="11">
                  <c:v>20.399999999999999</c:v>
                </c:pt>
                <c:pt idx="12">
                  <c:v>20.7</c:v>
                </c:pt>
                <c:pt idx="13">
                  <c:v>19.7</c:v>
                </c:pt>
                <c:pt idx="14">
                  <c:v>19.2</c:v>
                </c:pt>
                <c:pt idx="15">
                  <c:v>22.8</c:v>
                </c:pt>
                <c:pt idx="16">
                  <c:v>24.3</c:v>
                </c:pt>
                <c:pt idx="17">
                  <c:v>21.4</c:v>
                </c:pt>
                <c:pt idx="18">
                  <c:v>25.6</c:v>
                </c:pt>
                <c:pt idx="19">
                  <c:v>19.8</c:v>
                </c:pt>
                <c:pt idx="20">
                  <c:v>15.8</c:v>
                </c:pt>
                <c:pt idx="21">
                  <c:v>16.3</c:v>
                </c:pt>
                <c:pt idx="22">
                  <c:v>20.100000000000001</c:v>
                </c:pt>
                <c:pt idx="23">
                  <c:v>32</c:v>
                </c:pt>
                <c:pt idx="24">
                  <c:v>18.399999999999999</c:v>
                </c:pt>
                <c:pt idx="25">
                  <c:v>13.7</c:v>
                </c:pt>
                <c:pt idx="26">
                  <c:v>17.600000000000001</c:v>
                </c:pt>
              </c:numCache>
            </c:numRef>
          </c:xVal>
          <c:yVal>
            <c:numRef>
              <c:f>'ID66'!$L$14:$L$40</c:f>
              <c:numCache>
                <c:formatCode>General</c:formatCode>
                <c:ptCount val="27"/>
                <c:pt idx="0">
                  <c:v>0.2</c:v>
                </c:pt>
                <c:pt idx="1">
                  <c:v>-0.1</c:v>
                </c:pt>
                <c:pt idx="2">
                  <c:v>-2.2000000000000002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0.8</c:v>
                </c:pt>
                <c:pt idx="7">
                  <c:v>-1</c:v>
                </c:pt>
                <c:pt idx="8">
                  <c:v>-0.2</c:v>
                </c:pt>
                <c:pt idx="9">
                  <c:v>0.5</c:v>
                </c:pt>
                <c:pt idx="10">
                  <c:v>-0.5</c:v>
                </c:pt>
                <c:pt idx="11">
                  <c:v>-0.3</c:v>
                </c:pt>
                <c:pt idx="12">
                  <c:v>0.8</c:v>
                </c:pt>
                <c:pt idx="13">
                  <c:v>1.3</c:v>
                </c:pt>
                <c:pt idx="14">
                  <c:v>-0.4</c:v>
                </c:pt>
                <c:pt idx="15">
                  <c:v>-1.6</c:v>
                </c:pt>
                <c:pt idx="16">
                  <c:v>-0.3</c:v>
                </c:pt>
                <c:pt idx="17">
                  <c:v>2</c:v>
                </c:pt>
                <c:pt idx="18">
                  <c:v>-0.4</c:v>
                </c:pt>
                <c:pt idx="19">
                  <c:v>-0.3</c:v>
                </c:pt>
                <c:pt idx="20">
                  <c:v>-0.7</c:v>
                </c:pt>
                <c:pt idx="21">
                  <c:v>0.4</c:v>
                </c:pt>
                <c:pt idx="22">
                  <c:v>0</c:v>
                </c:pt>
                <c:pt idx="23">
                  <c:v>-2.4</c:v>
                </c:pt>
                <c:pt idx="24">
                  <c:v>-0.2</c:v>
                </c:pt>
                <c:pt idx="25">
                  <c:v>0.4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D05-4408-9FDD-45A8768CE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'ID66'!$K$5</c:f>
              <c:strCache>
                <c:ptCount val="1"/>
                <c:pt idx="0">
                  <c:v>At risk of poverty or social exclusion (AROPE) rate (% of total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'ID66'!$K$9</c:f>
              <c:strCache>
                <c:ptCount val="1"/>
                <c:pt idx="0">
                  <c:v>At risk of poverty or social exclusion (AROPE) rate (% of total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'ID83'!$P$13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{99167B2F-DD42-46C0-BC6B-4183094830DD}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{EC0BA0BC-E626-47B8-BDDD-B58830381AC0}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{6BD93279-A2EB-43F0-8B34-998E512FFB3D}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{307E7020-CBA5-4776-B5C9-5450785A1E90}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{C65BF9C6-ABC1-412C-9A7F-5B56C9D5747E}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{B3E7AEF6-9653-43D9-9E7A-F1C3C4D3DD98}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{3B0C6371-A617-4C24-91DD-A407CFBBF693}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{D1993938-AEDD-4793-8B38-B1F60B2FC22F}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{AEF40572-E273-41CA-A17D-0833301C8DCE}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{29D4100C-386E-45EB-B72B-BB79C767A9AB}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{27AD2FD0-9CD9-4BF3-A68B-AF571B4E402C}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{B2A54C03-4F4E-4C42-A78F-CF660991DF47}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{F094BD9F-6B5C-4522-A53E-CABD34BF7C07}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{02C569FC-F831-455A-AA28-8574C18A2C36}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{3CA5AB84-58FF-4A67-A86D-83393300F5A1}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{F4B85293-6D91-4B22-BBEC-C78D74445A6B}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{5D17ED67-1413-4D26-8725-4D3CBBE0BB23}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{E76CEB2A-D468-4AC9-AAB6-C11816221521}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{A14BAE83-305F-4D8D-8C5D-D019079CD9B0}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{94004BF7-DCF3-444D-A7EB-E589B3A653DD}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{1A1BC1C1-EF7D-4715-9D64-B6DD8F8AA971}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{BAE9548C-867A-489A-8E6F-786D7828C5B7}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{E698221D-B632-475A-94B2-1F0A13375F38}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{E720FC76-A506-43A7-8495-B970E4E4250E}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{FB882625-8C8A-440C-916B-07FFD2F75FED}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{4A2521C1-C47F-43F9-A927-647EF563AAD6}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{A0B0E6EE-4CAE-4353-B4B3-D16347D3E869}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{0DF3F1D0-F7A0-48C7-8C5C-4D7366CFD690}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99-417F-9C01-BACDBD9EFB12}"/>
            </c:ext>
          </c:extLst>
        </c:ser>
        <c:ser>
          <c:idx val="2"/>
          <c:order val="1"/>
          <c:tx>
            <c:strRef>
              <c:f>'ID83'!$Q$13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{7E4594DB-337C-4527-975A-B0B0A5D555A4}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{04202045-8EF5-4B44-B1D4-622B6F9FABDA}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{DAF940B5-07A8-4E30-A7EC-A30413BE79C9}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{56D03976-200C-4CA8-B5A9-B471B50386AE}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{2805794C-A79B-4025-82E5-81FA20A0E603}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{F5E5BBD3-5A25-494D-BFA9-7A86FF15A430}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{C6C0B0EF-F1EF-4AC4-A732-C972A133531D}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{4CC7C651-D937-488A-B653-DCC1F2B73006}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{68315124-05D9-4996-AB5F-7CA888E99FA7}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{DB3452C6-7FBF-47C4-B8D6-7B0309CA6B5B}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{8110B5E5-AF88-4F8B-A0EA-A1391F4C4486}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{B6740E8F-CCEC-442B-AE03-64D58404C6F2}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{9E526629-8892-445A-A2DF-DCF0B344C818}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{5DF6BCB8-FF05-4892-AC03-6691CAAFA4F5}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{A0A692FF-F226-45E0-940D-0F28061265FE}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{3623906D-AEB6-4F95-860C-11CD7B57D9A7}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{E165C3CE-9530-43C0-8070-D5634FE44A3E}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{7FA6F753-EAB3-4129-8CF6-E8A98330BDE9}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{0B4FB39C-F9BE-483A-88E7-62DEBA174337}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{48EC5F8D-EAB3-4363-835C-DB6174656FDF}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{F861A156-12C3-4D5E-9944-BFF3DEFD7C72}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{660E651F-1590-41B0-A906-54BB20135B1E}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{20F92E82-6048-49B1-A81F-9B5EF595E4E9}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{EDB25F0C-0516-49CC-9789-D717A3219EF4}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{DC8749BA-6B95-4192-960A-1F536FBFB3BB}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{9C7C0164-7B91-48C5-B896-14FDB99AB82C}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{6E942BF3-8535-4A15-BF5A-BCA2FCCFDCB0}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{BDBCD42D-6827-46AC-8963-AE4701FC6767}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1.6</c:v>
                </c:pt>
                <c:pt idx="5">
                  <c:v>#N/A</c:v>
                </c:pt>
                <c:pt idx="6">
                  <c:v>1.5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-1.1000000000000001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99-417F-9C01-BACDBD9EFB12}"/>
            </c:ext>
          </c:extLst>
        </c:ser>
        <c:ser>
          <c:idx val="3"/>
          <c:order val="2"/>
          <c:tx>
            <c:strRef>
              <c:f>'ID83'!$R$13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{920770D2-4D6F-463C-BDDB-3783BF66435E}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{A93D776E-0D4C-4E21-B1E9-4BF1C95D60B6}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{3E506607-217E-4451-8A5D-F20F5803ED1A}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{9918A47F-C56E-4E86-B086-7BD524C9C46A}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{902EC66C-E99A-4A4D-9F37-C904FA6D30CB}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{D1B71744-F1A9-4058-B6B4-691D68CE8923}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{91A85570-2F38-4EBA-B60E-1EA462407B26}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{7E9C07AF-DEA3-4E60-A977-267D7BFD499A}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{D6E21C0B-5A7A-4B22-A74A-A48FA5F20BFC}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{20DC85E4-70B1-458F-8A99-A4C42373C865}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{84971848-AF65-4984-8DDA-7144DEABEAA8}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{6A57C76D-E5F5-4845-B83A-7582299908BF}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{2E50D231-45B6-4529-8FDD-02FC538687C2}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{7729EB10-9248-46DE-80C2-5F3DBE11FD5C}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{DA2DC08C-C116-44A0-A4EF-5707A81B95AB}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{318366D6-2139-4D82-B08E-CBD645391F7A}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{D0BACF62-4A97-450D-93EF-A271C2F64CF5}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{D8D7A131-7B82-4FE2-BAAD-728792914EFA}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{8D7EFBCE-9434-4569-BCB0-39D98988E804}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{A8D01BB4-411B-47D9-B40C-B5D1E6849037}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{37EECCC5-A46A-4958-A5F1-95C496F62C76}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{E265CA78-2EF2-4E4B-8CC5-DA43277FD1BE}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{89C79783-3B2A-44D8-A7C3-88B3AD7A900B}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{0F56F39A-F349-4232-9116-974624523251}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{68DFD433-3935-4AF1-946F-6FC25B2FA3DB}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{844CA9A8-9E8C-4383-A90B-B0F46D79AA35}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{ACD810F2-33E2-490A-A72E-9A827EAF19A1}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{D97A24E5-AA00-4AF5-BDF4-56681646B037}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-0.6</c:v>
                </c:pt>
                <c:pt idx="2">
                  <c:v>#N/A</c:v>
                </c:pt>
                <c:pt idx="3">
                  <c:v>-1.4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199-417F-9C01-BACDBD9EFB12}"/>
            </c:ext>
          </c:extLst>
        </c:ser>
        <c:ser>
          <c:idx val="4"/>
          <c:order val="3"/>
          <c:tx>
            <c:strRef>
              <c:f>'ID83'!$S$13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{CCE0DDAA-D4C1-4F9B-B82B-35D7317C7E5C}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{97B8611A-CFCB-433F-BB17-46EB659BB213}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{5CC91CC1-E4AB-4CAC-890D-8F3F7021ACF2}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{35C16472-B2D3-46B7-B30F-32A054E99741}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{44CC68FD-BFFB-4633-A8EF-70902434807D}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{A6E0C28D-EE64-48DC-8F03-A3EBBF7F6F66}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{EABEAF5C-282D-4371-97C2-8F45D5D2E3F1}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{DC9E46CE-0364-4C88-9055-EA2D54424D01}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{94A8A2FF-DE61-4C53-949C-8DDEC3B412A0}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{73B74355-17C3-47A2-AA2A-3507427A2B5F}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{4A165836-8AC9-46B0-B503-C40F67406F6E}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{9212D3A9-0B68-4BAF-9826-A450B8B8BEA1}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{EC6F48F1-A723-45E0-B88C-941C37123486}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{FACAF1CD-4AC9-493B-9184-5BBA20B3BB08}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{34C4A887-1A51-4313-9EB7-FDA96075E49A}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{F6D22354-1E89-4E24-94DF-2245CCBA7B53}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{9E9F2DD1-54B5-44E5-A9F2-4625FCF2B02D}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{48265056-5383-42FB-8060-2EB93AD2ADAE}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{136158F6-F26E-4663-980D-D83263971D64}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{9EEB26C5-936C-4DED-BAF4-28E0E66B9D43}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{E22B0E3B-C913-456C-A069-2D85EF4D8FC5}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{6E0447A8-A215-4739-875A-B63F2FFE00C4}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{1D5E8B4F-B036-45E4-9EB5-E04C3FC5C880}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{670B23CF-4DCA-4014-8C3C-A46B12BC379A}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{E571B17A-8487-4239-B829-231D675A9573}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{52C6CCF4-BA1C-4B17-A3F6-81DFB7FA204B}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{D95F3818-7656-4608-A302-A03973A462B5}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{B4C23221-0C61-49C6-AD8D-8DF1EEF1089A}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-0.5</c:v>
                </c:pt>
                <c:pt idx="12">
                  <c:v>#N/A</c:v>
                </c:pt>
                <c:pt idx="13">
                  <c:v>6.3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199-417F-9C01-BACDBD9EFB12}"/>
            </c:ext>
          </c:extLst>
        </c:ser>
        <c:ser>
          <c:idx val="5"/>
          <c:order val="4"/>
          <c:tx>
            <c:strRef>
              <c:f>'ID83'!$T$13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{ADF43AE7-9AE0-452F-8E02-B407FA22EC4D}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{567D8D30-B727-4CF8-BB32-217EF6710568}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{170D9138-19CC-4438-B85D-56844B028A38}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{68D61F04-C5C9-415C-A899-422AC6AEA1B6}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{D608A0F3-77C3-49A4-9DB7-E908C6DB1DF6}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{B6C81052-EC85-4DB6-9E68-8BAB5EEF2875}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{FF4505A3-A02B-497D-9521-A7740F0FA1FF}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{35B513ED-14DB-4B06-B79F-CFCE0CCCE69C}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{42F0CD5F-7084-4537-A806-5F37567CF4CC}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{F8464BBC-83E6-4843-A432-22D73723CDEE}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{B6B9F989-DACD-4AC6-A352-65590127B4D2}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{EF1516A0-1D05-4184-8763-FBDD0EA6B9CE}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{0D7B318C-4A85-4E28-A8CF-5DB632F960DF}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{229A1FA7-0C48-48D7-8D2D-4753CADE1CDD}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{30DC1D15-02ED-4CE6-BA4F-6D8550150BF7}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{530BB455-7AF8-4523-8C9A-6ADE870F7B8C}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{279CE936-5EF5-44D0-BB10-86E422294C2E}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{1E334835-C23C-47EF-A350-EF371A57368F}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{0BFDEA80-6B66-4D2B-B13A-8BEED65B00C9}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{CB6CB723-A28C-4F5F-9608-8E8302840DF0}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{FA86A324-53B2-4547-9004-68DF5EF73B8B}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{8E303E63-22AC-4B21-9494-195FBC755E4C}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{1ADA3962-F7C8-46EB-B470-0750A4693B38}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{C3920B7C-F0ED-4A23-8F43-6377FE55F025}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{CEBFBE64-B706-4E62-8736-55553017CCDB}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{DE9470C1-3CFC-42C5-9998-4EAB73DF0A90}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{3E2055C5-EDBD-4740-BE70-B4E4DED76679}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{B53F9408-50CB-4A05-86F6-C03214F8B657}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2.2999999999999998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199-417F-9C01-BACDBD9EFB12}"/>
            </c:ext>
          </c:extLst>
        </c:ser>
        <c:ser>
          <c:idx val="0"/>
          <c:order val="5"/>
          <c:tx>
            <c:strRef>
              <c:f>'ID83'!$U$13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{DB32DEB5-B939-46F7-8100-963639496AEA}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{CBDB80D3-DBE1-4567-84FC-89544B83F720}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{7B32EC41-D77E-46D7-B36F-2C7278675216}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{88F2F4CF-EC24-408E-83B3-6097E9E2EAE7}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{3E32753B-DC1B-4C00-B87E-1787C105250A}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{F158E8F7-A14B-40B8-9911-B20FB1223C06}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{B957F13A-A213-4F44-921A-90CC8E1E6EC6}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{DCD8732E-45B5-42F9-9451-83CC05007A41}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{1E78BC24-9139-43E2-91A7-24914973A3AC}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{42D0FC5C-7198-4A51-9389-448B1A2DD4D7}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{9FB35EAF-5D61-4886-BE21-CB462824D0BE}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{3489E565-25E4-45CD-B2B2-4754A6B9625B}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{F80CE327-C4BD-4945-A1CD-53B398C5C846}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{133FDFA2-0396-4A00-AE72-A3E73380622D}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{6B54AD8F-204A-4722-A561-6AEA47241E7B}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{9DCE234A-0F58-46C0-A4B5-3D18B6FD2012}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{C9EBAB45-2F0F-456D-89C1-888475202350}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{C264A6EB-078C-4D15-9B63-430B2B1DAB21}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{EC351D31-4C01-4F5F-97D3-297CC042B262}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{AAABD108-2B12-4AAE-B0D5-5805235AB1C0}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{22EF9134-92CA-4511-8533-583C92F42AAC}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{3ADA7F60-0294-406F-B278-A1FCFD92CDE1}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{837B5066-B474-4038-9D9A-F49D81444E60}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{E04CE98C-979B-4151-AEFD-0D6AEC0E053B}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{C6D31DF2-2DDA-4842-BBC4-68DDEEAA27E7}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{F7F6BAE9-D4C6-44A6-AAB0-FEC433BF49D2}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{B25CB8D9-1986-497A-9655-8A383746E203}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{27E508F4-4934-42F4-961D-ADA17F6D76DD}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'ID83'!$U$14:$U$40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-0.5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</c:v>
                </c:pt>
                <c:pt idx="15">
                  <c:v>#N/A</c:v>
                </c:pt>
                <c:pt idx="16">
                  <c:v>-0.7</c:v>
                </c:pt>
                <c:pt idx="17">
                  <c:v>#N/A</c:v>
                </c:pt>
                <c:pt idx="18">
                  <c:v>0.5</c:v>
                </c:pt>
                <c:pt idx="19">
                  <c:v>2.1</c:v>
                </c:pt>
                <c:pt idx="20">
                  <c:v>#N/A</c:v>
                </c:pt>
                <c:pt idx="21">
                  <c:v>#N/A</c:v>
                </c:pt>
                <c:pt idx="22">
                  <c:v>1.9</c:v>
                </c:pt>
                <c:pt idx="23">
                  <c:v>#N/A</c:v>
                </c:pt>
                <c:pt idx="24">
                  <c:v>1.7</c:v>
                </c:pt>
                <c:pt idx="25">
                  <c:v>#N/A</c:v>
                </c:pt>
                <c:pt idx="2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199-417F-9C01-BACDBD9EFB12}"/>
            </c:ext>
          </c:extLst>
        </c:ser>
        <c:ser>
          <c:idx val="6"/>
          <c:order val="6"/>
          <c:tx>
            <c:strRef>
              <c:f>'ID83'!$V$13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'ID83'!$N$14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{BC952692-1BCD-4440-B3A1-E9A6EB1ADD15}</c15:txfldGUID>
                      <c15:f>'ID83'!$N$14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5199-417F-9C01-BACDBD9EFB12}"/>
                </c:ext>
              </c:extLst>
            </c:dLbl>
            <c:dLbl>
              <c:idx val="1"/>
              <c:tx>
                <c:strRef>
                  <c:f>'ID83'!$N$15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{52C92DDC-0F91-4D23-A361-57E2CE4E536A}</c15:txfldGUID>
                      <c15:f>'ID83'!$N$15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5199-417F-9C01-BACDBD9EFB12}"/>
                </c:ext>
              </c:extLst>
            </c:dLbl>
            <c:dLbl>
              <c:idx val="2"/>
              <c:tx>
                <c:strRef>
                  <c:f>'ID83'!$N$16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{D4B38B2A-6FA9-4844-B573-99EDCAB34C45}</c15:txfldGUID>
                      <c15:f>'ID83'!$N$16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5199-417F-9C01-BACDBD9EFB12}"/>
                </c:ext>
              </c:extLst>
            </c:dLbl>
            <c:dLbl>
              <c:idx val="3"/>
              <c:tx>
                <c:strRef>
                  <c:f>'ID83'!$N$17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{9B1AF040-6CDB-42D0-AAB9-AE25C46CDC28}</c15:txfldGUID>
                      <c15:f>'ID83'!$N$17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5199-417F-9C01-BACDBD9EFB12}"/>
                </c:ext>
              </c:extLst>
            </c:dLbl>
            <c:dLbl>
              <c:idx val="4"/>
              <c:tx>
                <c:strRef>
                  <c:f>'ID83'!$N$18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{BEDF25B3-47E0-4A80-9ABF-A2C7DCE0645A}</c15:txfldGUID>
                      <c15:f>'ID83'!$N$18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5199-417F-9C01-BACDBD9EFB12}"/>
                </c:ext>
              </c:extLst>
            </c:dLbl>
            <c:dLbl>
              <c:idx val="5"/>
              <c:tx>
                <c:strRef>
                  <c:f>'ID83'!$N$19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{FEF0F4D7-0FCB-4680-B6B0-8FC28A0BF610}</c15:txfldGUID>
                      <c15:f>'ID83'!$N$19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5199-417F-9C01-BACDBD9EFB12}"/>
                </c:ext>
              </c:extLst>
            </c:dLbl>
            <c:dLbl>
              <c:idx val="6"/>
              <c:tx>
                <c:strRef>
                  <c:f>'ID83'!$N$20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{3316BFE8-3154-45AF-8503-3BF77816BE55}</c15:txfldGUID>
                      <c15:f>'ID83'!$N$20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5199-417F-9C01-BACDBD9EFB12}"/>
                </c:ext>
              </c:extLst>
            </c:dLbl>
            <c:dLbl>
              <c:idx val="7"/>
              <c:tx>
                <c:strRef>
                  <c:f>'ID83'!$N$21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{33B2C692-63EE-4BBE-8377-22C4B5017AB6}</c15:txfldGUID>
                      <c15:f>'ID83'!$N$21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5199-417F-9C01-BACDBD9EFB12}"/>
                </c:ext>
              </c:extLst>
            </c:dLbl>
            <c:dLbl>
              <c:idx val="8"/>
              <c:tx>
                <c:strRef>
                  <c:f>'ID83'!$N$22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{7339B2BB-3919-4E57-A4E8-62B51FF9EFB4}</c15:txfldGUID>
                      <c15:f>'ID83'!$N$22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5199-417F-9C01-BACDBD9EFB12}"/>
                </c:ext>
              </c:extLst>
            </c:dLbl>
            <c:dLbl>
              <c:idx val="9"/>
              <c:tx>
                <c:strRef>
                  <c:f>'ID83'!$N$23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{759BCC18-1076-48C0-8C4C-B5AE38E03ACE}</c15:txfldGUID>
                      <c15:f>'ID83'!$N$23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5199-417F-9C01-BACDBD9EFB12}"/>
                </c:ext>
              </c:extLst>
            </c:dLbl>
            <c:dLbl>
              <c:idx val="10"/>
              <c:tx>
                <c:strRef>
                  <c:f>'ID83'!$N$24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{D2EF921C-50EB-421D-908D-69276900C09A}</c15:txfldGUID>
                      <c15:f>'ID83'!$N$24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5199-417F-9C01-BACDBD9EFB12}"/>
                </c:ext>
              </c:extLst>
            </c:dLbl>
            <c:dLbl>
              <c:idx val="11"/>
              <c:tx>
                <c:strRef>
                  <c:f>'ID83'!$N$25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{48E4D3E5-AAB7-4E8F-98F1-F129C7DA3459}</c15:txfldGUID>
                      <c15:f>'ID83'!$N$25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5199-417F-9C01-BACDBD9EFB12}"/>
                </c:ext>
              </c:extLst>
            </c:dLbl>
            <c:dLbl>
              <c:idx val="12"/>
              <c:tx>
                <c:strRef>
                  <c:f>'ID83'!$N$26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{262F0E41-8113-483E-8757-42BC078DEC79}</c15:txfldGUID>
                      <c15:f>'ID83'!$N$26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5199-417F-9C01-BACDBD9EFB12}"/>
                </c:ext>
              </c:extLst>
            </c:dLbl>
            <c:dLbl>
              <c:idx val="13"/>
              <c:tx>
                <c:strRef>
                  <c:f>'ID83'!$N$27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{137801BA-BD41-412F-AA1D-CE60110491E0}</c15:txfldGUID>
                      <c15:f>'ID83'!$N$27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5199-417F-9C01-BACDBD9EFB12}"/>
                </c:ext>
              </c:extLst>
            </c:dLbl>
            <c:dLbl>
              <c:idx val="14"/>
              <c:tx>
                <c:strRef>
                  <c:f>'ID83'!$N$28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{9DF8709C-C847-4B99-B522-92B481E4BFB7}</c15:txfldGUID>
                      <c15:f>'ID83'!$N$28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5199-417F-9C01-BACDBD9EFB12}"/>
                </c:ext>
              </c:extLst>
            </c:dLbl>
            <c:dLbl>
              <c:idx val="15"/>
              <c:tx>
                <c:strRef>
                  <c:f>'ID83'!$N$29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{A15621BC-BE0C-4929-9EFB-EBA1D8C18656}</c15:txfldGUID>
                      <c15:f>'ID83'!$N$29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5199-417F-9C01-BACDBD9EFB12}"/>
                </c:ext>
              </c:extLst>
            </c:dLbl>
            <c:dLbl>
              <c:idx val="16"/>
              <c:tx>
                <c:strRef>
                  <c:f>'ID83'!$N$30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{428E18F2-925F-4706-B77A-3242A3F221CF}</c15:txfldGUID>
                      <c15:f>'ID83'!$N$30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5199-417F-9C01-BACDBD9EFB12}"/>
                </c:ext>
              </c:extLst>
            </c:dLbl>
            <c:dLbl>
              <c:idx val="17"/>
              <c:tx>
                <c:strRef>
                  <c:f>'ID83'!$N$31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{67EE7259-64D1-4143-B861-D79C02061344}</c15:txfldGUID>
                      <c15:f>'ID83'!$N$31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5199-417F-9C01-BACDBD9EFB12}"/>
                </c:ext>
              </c:extLst>
            </c:dLbl>
            <c:dLbl>
              <c:idx val="18"/>
              <c:tx>
                <c:strRef>
                  <c:f>'ID83'!$N$32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{3FB03B30-DD71-4908-A93E-CFD148B6E8F2}</c15:txfldGUID>
                      <c15:f>'ID83'!$N$32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5199-417F-9C01-BACDBD9EFB12}"/>
                </c:ext>
              </c:extLst>
            </c:dLbl>
            <c:dLbl>
              <c:idx val="19"/>
              <c:tx>
                <c:strRef>
                  <c:f>'ID83'!$N$33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{40E9C8EA-4F3D-4587-829D-FBF3DE83DE31}</c15:txfldGUID>
                      <c15:f>'ID83'!$N$33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5199-417F-9C01-BACDBD9EFB12}"/>
                </c:ext>
              </c:extLst>
            </c:dLbl>
            <c:dLbl>
              <c:idx val="20"/>
              <c:tx>
                <c:strRef>
                  <c:f>'ID83'!$N$34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{6B734E88-1246-4007-AD78-60C936152A3A}</c15:txfldGUID>
                      <c15:f>'ID83'!$N$34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5199-417F-9C01-BACDBD9EFB12}"/>
                </c:ext>
              </c:extLst>
            </c:dLbl>
            <c:dLbl>
              <c:idx val="21"/>
              <c:tx>
                <c:strRef>
                  <c:f>'ID83'!$N$35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{D8305A27-0C73-4FBE-9909-4BF1E777E12A}</c15:txfldGUID>
                      <c15:f>'ID83'!$N$35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5199-417F-9C01-BACDBD9EFB12}"/>
                </c:ext>
              </c:extLst>
            </c:dLbl>
            <c:dLbl>
              <c:idx val="22"/>
              <c:tx>
                <c:strRef>
                  <c:f>'ID83'!$N$36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{447F3220-99C6-4C35-ADCC-6C7548EE6F0A}</c15:txfldGUID>
                      <c15:f>'ID83'!$N$36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5199-417F-9C01-BACDBD9EFB12}"/>
                </c:ext>
              </c:extLst>
            </c:dLbl>
            <c:dLbl>
              <c:idx val="23"/>
              <c:tx>
                <c:strRef>
                  <c:f>'ID83'!$N$37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{31B16616-A0AC-4F61-8687-FC4C3AE818B5}</c15:txfldGUID>
                      <c15:f>'ID83'!$N$37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5199-417F-9C01-BACDBD9EFB12}"/>
                </c:ext>
              </c:extLst>
            </c:dLbl>
            <c:dLbl>
              <c:idx val="24"/>
              <c:tx>
                <c:strRef>
                  <c:f>'ID83'!$N$38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{48633D4A-1A95-40DD-80CD-FE9C372D7825}</c15:txfldGUID>
                      <c15:f>'ID83'!$N$38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5199-417F-9C01-BACDBD9EFB12}"/>
                </c:ext>
              </c:extLst>
            </c:dLbl>
            <c:dLbl>
              <c:idx val="25"/>
              <c:tx>
                <c:strRef>
                  <c:f>'ID83'!$N$39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{355273C1-58C5-4633-97B2-1B0A6DDA67B9}</c15:txfldGUID>
                      <c15:f>'ID83'!$N$39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5199-417F-9C01-BACDBD9EFB12}"/>
                </c:ext>
              </c:extLst>
            </c:dLbl>
            <c:dLbl>
              <c:idx val="26"/>
              <c:tx>
                <c:strRef>
                  <c:f>'ID83'!$N$40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{5CE7E2E1-A01A-481B-A3A4-BD2569EC411D}</c15:txfldGUID>
                      <c15:f>'ID83'!$N$40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5199-417F-9C01-BACDBD9EFB12}"/>
                </c:ext>
              </c:extLst>
            </c:dLbl>
            <c:dLbl>
              <c:idx val="27"/>
              <c:tx>
                <c:strRef>
                  <c:f>'ID83'!$N$41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{D8118A65-1C74-4CC2-A34F-6212B412429C}</c15:txfldGUID>
                      <c15:f>'ID83'!$N$41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5199-417F-9C01-BACDBD9EF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'ID83'!$O$14:$O$40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-1.4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199-417F-9C01-BACDBD9EFB12}"/>
            </c:ext>
          </c:extLst>
        </c:ser>
        <c:ser>
          <c:idx val="7"/>
          <c:order val="7"/>
          <c:tx>
            <c:strRef>
              <c:f>'ID83'!$J$48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'ID83'!$K$48:$K$49</c:f>
              <c:numCache>
                <c:formatCode>0.0</c:formatCode>
                <c:ptCount val="2"/>
                <c:pt idx="0">
                  <c:v>10.7</c:v>
                </c:pt>
                <c:pt idx="1">
                  <c:v>39</c:v>
                </c:pt>
              </c:numCache>
            </c:numRef>
          </c:xVal>
          <c:yVal>
            <c:numRef>
              <c:f>'ID83'!$L$48:$L$49</c:f>
              <c:numCache>
                <c:formatCode>0.000</c:formatCode>
                <c:ptCount val="2"/>
                <c:pt idx="0" formatCode="General">
                  <c:v>0.68518518518518501</c:v>
                </c:pt>
                <c:pt idx="1">
                  <c:v>0.68518518518518501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199-417F-9C01-BACDBD9EFB12}"/>
            </c:ext>
          </c:extLst>
        </c:ser>
        <c:ser>
          <c:idx val="8"/>
          <c:order val="8"/>
          <c:tx>
            <c:strRef>
              <c:f>'ID83'!$J$51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'ID83'!$K$51:$K$52</c:f>
              <c:numCache>
                <c:formatCode>0.000</c:formatCode>
                <c:ptCount val="2"/>
                <c:pt idx="0">
                  <c:v>22.451851851851853</c:v>
                </c:pt>
                <c:pt idx="1">
                  <c:v>22.451851851851853</c:v>
                </c:pt>
              </c:numCache>
            </c:numRef>
          </c:xVal>
          <c:yVal>
            <c:numRef>
              <c:f>'ID83'!$L$51:$L$52</c:f>
              <c:numCache>
                <c:formatCode>0.0</c:formatCode>
                <c:ptCount val="2"/>
                <c:pt idx="0">
                  <c:v>-2.5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199-417F-9C01-BACDBD9EFB12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'ID83'!$K$14:$K$40</c:f>
              <c:numCache>
                <c:formatCode>General</c:formatCode>
                <c:ptCount val="27"/>
                <c:pt idx="0">
                  <c:v>22.7</c:v>
                </c:pt>
                <c:pt idx="1">
                  <c:v>19</c:v>
                </c:pt>
                <c:pt idx="2">
                  <c:v>33.9</c:v>
                </c:pt>
                <c:pt idx="3">
                  <c:v>16.7</c:v>
                </c:pt>
                <c:pt idx="4">
                  <c:v>15</c:v>
                </c:pt>
                <c:pt idx="5">
                  <c:v>23.9</c:v>
                </c:pt>
                <c:pt idx="6">
                  <c:v>15.3</c:v>
                </c:pt>
                <c:pt idx="7">
                  <c:v>18.3</c:v>
                </c:pt>
                <c:pt idx="8">
                  <c:v>28.1</c:v>
                </c:pt>
                <c:pt idx="9">
                  <c:v>34.5</c:v>
                </c:pt>
                <c:pt idx="10">
                  <c:v>13.8</c:v>
                </c:pt>
                <c:pt idx="11">
                  <c:v>26.6</c:v>
                </c:pt>
                <c:pt idx="12">
                  <c:v>17.3</c:v>
                </c:pt>
                <c:pt idx="13">
                  <c:v>24.4</c:v>
                </c:pt>
                <c:pt idx="14">
                  <c:v>24.3</c:v>
                </c:pt>
                <c:pt idx="15">
                  <c:v>27.1</c:v>
                </c:pt>
                <c:pt idx="16">
                  <c:v>21.7</c:v>
                </c:pt>
                <c:pt idx="17">
                  <c:v>26.1</c:v>
                </c:pt>
                <c:pt idx="18">
                  <c:v>20.3</c:v>
                </c:pt>
                <c:pt idx="19">
                  <c:v>25.2</c:v>
                </c:pt>
                <c:pt idx="20">
                  <c:v>15.9</c:v>
                </c:pt>
                <c:pt idx="21">
                  <c:v>16.899999999999999</c:v>
                </c:pt>
                <c:pt idx="22">
                  <c:v>22.6</c:v>
                </c:pt>
                <c:pt idx="23">
                  <c:v>39</c:v>
                </c:pt>
                <c:pt idx="24">
                  <c:v>21.6</c:v>
                </c:pt>
                <c:pt idx="25">
                  <c:v>10.7</c:v>
                </c:pt>
                <c:pt idx="26">
                  <c:v>25.3</c:v>
                </c:pt>
              </c:numCache>
            </c:numRef>
          </c:xVal>
          <c:yVal>
            <c:numRef>
              <c:f>'ID83'!$L$14:$L$40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-0.6</c:v>
                </c:pt>
                <c:pt idx="2">
                  <c:v>0</c:v>
                </c:pt>
                <c:pt idx="3">
                  <c:v>-1.4</c:v>
                </c:pt>
                <c:pt idx="4">
                  <c:v>1.6</c:v>
                </c:pt>
                <c:pt idx="5">
                  <c:v>-0.5</c:v>
                </c:pt>
                <c:pt idx="6">
                  <c:v>1.5</c:v>
                </c:pt>
                <c:pt idx="7">
                  <c:v>1.7</c:v>
                </c:pt>
                <c:pt idx="8">
                  <c:v>0</c:v>
                </c:pt>
                <c:pt idx="9">
                  <c:v>2.2999999999999998</c:v>
                </c:pt>
                <c:pt idx="10">
                  <c:v>-1.1000000000000001</c:v>
                </c:pt>
                <c:pt idx="11">
                  <c:v>-0.5</c:v>
                </c:pt>
                <c:pt idx="12">
                  <c:v>-0.8</c:v>
                </c:pt>
                <c:pt idx="13">
                  <c:v>6.3</c:v>
                </c:pt>
                <c:pt idx="14">
                  <c:v>2</c:v>
                </c:pt>
                <c:pt idx="15">
                  <c:v>-1.4</c:v>
                </c:pt>
                <c:pt idx="16">
                  <c:v>-0.7</c:v>
                </c:pt>
                <c:pt idx="17">
                  <c:v>2.1</c:v>
                </c:pt>
                <c:pt idx="18">
                  <c:v>0.5</c:v>
                </c:pt>
                <c:pt idx="19">
                  <c:v>2.1</c:v>
                </c:pt>
                <c:pt idx="20">
                  <c:v>2</c:v>
                </c:pt>
                <c:pt idx="21">
                  <c:v>0.2</c:v>
                </c:pt>
                <c:pt idx="22">
                  <c:v>1.9</c:v>
                </c:pt>
                <c:pt idx="23">
                  <c:v>-2.5</c:v>
                </c:pt>
                <c:pt idx="24">
                  <c:v>1.7</c:v>
                </c:pt>
                <c:pt idx="25">
                  <c:v>0.4</c:v>
                </c:pt>
                <c:pt idx="2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199-417F-9C01-BACDBD9EF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'ID83'!$K$5</c:f>
              <c:strCache>
                <c:ptCount val="1"/>
                <c:pt idx="0">
                  <c:v>At risk of poverty or social exclusion (AROPE) rate for children (% of population aged 0-17)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'ID83'!$K$9</c:f>
              <c:strCache>
                <c:ptCount val="1"/>
                <c:pt idx="0">
                  <c:v>At risk of poverty or social exclusion (AROPE) rate for children (% of population aged 0-17)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'ID99'!$P$13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{1D62BA9D-CC58-4FFA-AF71-04DADB433EF0}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{818E3167-98B2-4A03-823E-3DC5D32404B8}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{834F2C1B-CC80-40BF-AAFA-F709865DFD1B}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{B962BAD2-57A1-4943-8EC1-F38323B6E885}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{FF7C6186-F994-4922-B056-717A415C0615}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{675ABB2D-F161-4BC0-88DB-AC3E0CD47AB6}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{DA7329A6-E2D0-42E9-90FB-805965DB7001}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{462D935E-F63D-4825-811E-F35093B9C285}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{B9F34ED8-F878-4338-8508-07BA5B9C5EF1}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{6372EC08-CECA-410C-B1F9-12E9D475CEE7}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{8AB34DE4-4AAE-478D-8EA6-F47330C6EB1A}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{41B28CE5-4E01-482E-B6B4-56AAD4CFFB00}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{47E1BFE1-DE89-4E35-A0B8-7DED309B702E}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{026325EB-C54B-41DB-B1D7-9C5257FB6FE2}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{9FB9B11B-8D63-42DD-AC69-2342A22A73E0}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{ED03EEC7-B3F7-4956-9BF2-9B0724C6DDBC}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{27479D87-0624-47F2-A432-9E4780C5528F}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{4E4BEA41-3CA8-4004-AC59-0DAF20D5848D}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{146E4192-9CD1-4A99-A1CA-E18502FEBA88}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{3EC1925D-8535-40A0-81CD-84659D53E214}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{E9DC9FF7-6F2C-48C2-8ED1-F72C56CC8CE4}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{EE6AE07C-62AE-46E6-8553-82A27D01A202}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{DC6C7416-7D08-4878-B74D-76037ABB26B1}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{F8EB0E66-719C-4A0C-8EDE-FF0D9400E52F}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{54AD4FB7-A8B0-4841-B8FD-FD42500B35FF}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{23E90632-739F-4F3C-97AE-8F2962226A34}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{D34C1493-A031-45D4-A97F-B328A57ADD42}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{8C6E6913-9264-4EFF-B4F0-DC8CFC0CBEF2}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736-4055-99F0-245D9A42BEF0}"/>
            </c:ext>
          </c:extLst>
        </c:ser>
        <c:ser>
          <c:idx val="2"/>
          <c:order val="1"/>
          <c:tx>
            <c:strRef>
              <c:f>'ID99'!$Q$13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{61CB18F5-C50F-4B49-A175-35E5F11FC5BC}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{D5D832CD-F665-46D4-ADF1-1C2DB70B66D6}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{A46D90CF-253A-4485-8F3E-32A13DF0C9EC}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{0E34C1D6-6151-4009-B06F-A792F2C76580}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{C0C820D8-D14B-43A0-B13E-834370B1328C}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{E6D4F004-84EB-43AC-8AEF-DFFD635982F7}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{6DBC3948-8968-4D96-93EF-7FA7A9EE8E67}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{A5A049B1-EF1B-4BFC-B6F3-E6179BBCB6A8}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{558D119E-99A7-4869-AB08-A0D6759D07B5}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{DBE28B8E-836A-4CAB-99CD-22AAF836124B}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{EBBCF965-9BB1-4477-91B4-66902583F8B1}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{39BF0ED5-D19C-485C-B773-A3D74B6BBFF3}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{075ED3A0-3B76-4D95-8FC4-1A101D3F92BF}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{A45BA379-4B51-49E9-8767-92931CC03CAE}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{B5C6FA80-5790-40B4-AA97-5CDE56AA3E48}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{7F8057C0-A2EA-406F-9990-38E2D4AEA1D4}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{81E1CCD3-EBB8-4318-8F50-F90A325A0B34}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{69344EED-2BDF-47D9-A749-08002468C169}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{C6676C00-5471-41C5-A60F-F0328750D6AC}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{9F39F22A-9F96-403D-82FC-9471551A1C04}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{1F91194F-B87C-4DA7-BB80-73414807BA36}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{A1DDF369-A533-4BE8-9E1C-48F424C83BCD}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{F0E78214-FD01-47ED-A142-410F379C00D3}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{F77D663D-C4C3-4FD1-94F4-0BA6C8E1E8FA}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{19560978-3FD5-466B-AC10-8A4EAFD7B07D}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{FB9C65E7-D6C6-45AD-8CC4-6157E663DD7B}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{545EB602-C4E8-491A-92A0-0A00E39880D4}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{C71F9E6C-5440-4309-8A20-D44C9B02D91D}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1.96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1.04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-1.06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0.56000000000000005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736-4055-99F0-245D9A42BEF0}"/>
            </c:ext>
          </c:extLst>
        </c:ser>
        <c:ser>
          <c:idx val="3"/>
          <c:order val="2"/>
          <c:tx>
            <c:strRef>
              <c:f>'ID99'!$R$13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{D19649A1-4672-477C-AFF8-BDB3873C3435}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{3189F83E-29A9-4E85-AD2F-D775CE2FC7A5}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{7D074930-E896-4711-AD56-A706865FCBBC}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{8EE7995C-BB17-4DB0-8153-1A62865688BF}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{A0EF7AC1-565D-469E-8556-A4F809C28DD5}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{E0F5B733-4B31-402B-A73F-42A7D627D8B0}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{2BB2DCAC-16E3-4017-B730-63F6964B3377}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{3E104FB7-ABCB-4E1B-A977-B2B24B536FE8}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{293DDD22-A937-44D5-94F6-DE40D114CAC9}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{76FE1BB1-8E4B-4C37-879A-7F1522E9445E}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{280B648D-DC84-4A2E-9734-D2B913A61F56}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{59B7273F-0A3D-4CB4-B958-AD1713008D35}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{722800A0-C1F5-44F8-A50F-FB798E3DACB3}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{A99AABA9-6D67-465C-A720-2A0FE5DA5909}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{06E19F07-58E1-4EE8-8189-43B98B97D401}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{2D5F9835-A13E-4028-8D54-8B85F8BEB6AA}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{60736F09-3F18-43E8-B807-BACBDEA5B2BA}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{4339C896-BC83-400A-AF16-56C06D3E1663}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{D0EC10B6-7C2E-4DAA-8D5C-FCEEC13AE9E6}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{3F3CCDDD-4ECD-400D-8B54-B54A0E914DD5}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{1984D22E-C999-4C6D-860C-BB7789A4F8F0}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{D65DA9F2-4F64-4CCE-8F58-D39444B6C594}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{97B5919A-613A-4E98-9AC9-1CAC7B162112}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{090A1BA1-AF0A-4078-A920-5DF691D33E37}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{EAC33614-BCF6-4034-B0DB-1B1BFFE5C826}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{D2A8CDC0-17EA-4187-A38C-A7245AAABBD8}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{EA1EDDAA-2156-47B1-86ED-4E76E6FF03A1}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{ACD6BFF6-5323-43C8-92A5-7B3C742238DC}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'ID99'!$R$14:$R$40</c:f>
              <c:numCache>
                <c:formatCode>General</c:formatCode>
                <c:ptCount val="27"/>
                <c:pt idx="0">
                  <c:v>-2.78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-0.49</c:v>
                </c:pt>
                <c:pt idx="5">
                  <c:v>-0.49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-0.12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4.68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4.5999999999999996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736-4055-99F0-245D9A42BEF0}"/>
            </c:ext>
          </c:extLst>
        </c:ser>
        <c:ser>
          <c:idx val="4"/>
          <c:order val="3"/>
          <c:tx>
            <c:strRef>
              <c:f>'ID99'!$S$13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{61EB342E-B03B-46F4-82B2-B9B81F906252}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{C13E80AF-DA4E-417E-BD2E-27A25D0EFDEA}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{4148A6B2-23FB-4573-B065-05D54C41E65E}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{E02CDBA7-6770-4803-B36B-FF2FF1189885}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{441CE307-7928-44C4-8911-3A92B00F331A}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{DA67DC5F-2D6E-41CD-B64D-3E48BA4F0F16}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{5EF997D2-2157-47C3-B6EA-3DBF89D682C3}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{BC064DB3-F2C5-4BA6-96A3-2A25246AADE8}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{6C579DF1-125F-4347-8B74-3AD2BA4FC7AE}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{868F6FB1-32B2-4576-ABE2-5B06C7FEFB6D}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{481D9FB4-80BD-435D-961E-357FE85353B2}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{609CD944-2F3B-4DFF-8E98-85CCFE26806F}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{0D7C6B98-FD5C-408A-BA33-A3285DA665ED}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{79AAAE93-1BE3-4E26-B39C-CD63663C7FCD}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{8DD8C9FD-0FAD-4670-A1BD-849010DE7EC3}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{CAF9F0B8-50C7-47E5-8F67-932B23D17FFA}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{34C6B5FD-7590-44D6-ACC8-F05F0AF5EB1A}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{A15ED238-B685-42ED-AD3D-B75AB29D047E}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{3FE3B657-9421-4B72-9AA9-2E9047FF8887}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{6359375C-E31D-43C1-9DD2-6B24178A12B7}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{0DB66FAF-EB41-49F0-A79E-528D251DF6F5}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{454A9683-E511-447E-8E42-A12A12F3CB9C}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{9DFDCCC5-C5CD-4A34-A5F3-0638CBED8E15}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{045695A0-22A1-445C-9FC0-3621947B6B93}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{25C12253-CAD3-41BE-8F66-8FA2B06914EE}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{ECA151DD-3E0D-4A21-9BF9-DF7DF6E1B893}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{7EDE7D66-FAE3-41E8-A815-E4ACC0FF52D2}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{E4AA0384-241F-4172-BEF6-7F04830BCA0C}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-0.43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-6.31</c:v>
                </c:pt>
                <c:pt idx="18">
                  <c:v>-1.53</c:v>
                </c:pt>
                <c:pt idx="19">
                  <c:v>-0.87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736-4055-99F0-245D9A42BEF0}"/>
            </c:ext>
          </c:extLst>
        </c:ser>
        <c:ser>
          <c:idx val="5"/>
          <c:order val="4"/>
          <c:tx>
            <c:strRef>
              <c:f>'ID99'!$T$13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{E1E52D5A-E686-4383-A4BE-EFBBD3EB2C95}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{83052287-6CE1-4CBA-B1A7-6F34302ED528}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{4563F733-6C79-4115-8F46-043FCE57030B}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{C06B9D4B-16C8-41F5-B04B-3A3E08EB663B}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{891C5954-36D6-4B82-AA00-E25302FE70FD}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{EAD6A2CC-94CC-4344-A7B9-F6AC0D44BB19}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{9D8A98FD-1850-48B1-9C3C-785298A2F808}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{98B90656-83ED-4ED2-9988-7362DE6FB791}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{A1BBB1C1-D934-42B4-84EA-F0A4B69F11F3}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{37960070-512F-4E51-BDCE-53428F90FD28}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{E4960994-E9C4-4B4F-97EB-E721F8E4F030}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{5068F583-E47B-4A41-9584-E14CF140B2C3}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{F4C8D54A-BB2D-47EE-8977-394B2BC9F638}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{704BAA20-B079-47F6-B2B7-9142DFFC4839}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{C21E0323-2444-4ABD-A95C-8D0E60778C32}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{007872D4-A7B9-4104-9429-9F0375292131}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{074AE280-EC35-43FC-AC38-53B3F18D9A43}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{C9CFB20F-F6F9-4CC8-872E-065D758E41C2}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{2FB71656-93F3-4EF0-BC84-867E53ADC48B}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{67B540E3-1235-4F0A-B992-FAEA906C240D}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{B13246F9-1231-43ED-81C7-003366E5FD1C}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{7BF1F079-3764-4A78-92E0-534BA45CE8A6}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{29181B67-E422-46D1-A576-C57FD6F8F7E6}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{A7D65A21-2A60-4F13-83EC-0FAAF5B70CFE}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{B1468E5C-E451-400D-BB30-6BA6DC61CDCD}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{A9FCF146-108C-4D7C-9243-3AAF939A7116}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{CE382650-3FBD-4F72-BD9F-B2A15A4D775C}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{90C1AD84-3C17-4DEF-ADBC-29D71348E018}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-2.16</c:v>
                </c:pt>
                <c:pt idx="9">
                  <c:v>-4.5</c:v>
                </c:pt>
                <c:pt idx="10">
                  <c:v>#N/A</c:v>
                </c:pt>
                <c:pt idx="11">
                  <c:v>#N/A</c:v>
                </c:pt>
                <c:pt idx="12">
                  <c:v>0.55000000000000004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-3.91</c:v>
                </c:pt>
                <c:pt idx="23">
                  <c:v>-0.94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736-4055-99F0-245D9A42BEF0}"/>
            </c:ext>
          </c:extLst>
        </c:ser>
        <c:ser>
          <c:idx val="0"/>
          <c:order val="5"/>
          <c:tx>
            <c:strRef>
              <c:f>'ID99'!$U$13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{4D2B07C8-2E23-48A6-BD78-FAC74E4DA18C}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{78AB19CC-B989-4CAE-9545-73172908E184}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{9123DDF0-D889-4336-B6A1-0B1F8ACFADC5}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{4084F412-4D08-47BB-AD1F-5D3B99476F03}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{CC83ACB6-5F52-4BAD-B548-8C00D4F741A2}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{A22CCFE9-482D-4940-BD7F-3867C1817A50}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{5CDCBB44-77A6-4AF7-A59D-0DAF5A2C6EE7}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{1C9BAA7F-CFFD-43C8-AD58-BD2A7C5D84A3}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{FC28DA88-D67D-41DA-89A1-9B89424BA3A1}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{DCCFB53A-A4B2-4913-B66A-0CDA7FB4CA93}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{75372422-896C-4585-B5E9-4FC109021608}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{CF5FF35B-6AD0-4820-97CD-1B46CAAD0CB5}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{511C5CBE-03AE-4439-B9DE-B61C25DC731B}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{A93A10EF-E707-4F7E-901C-0C83A9A1D118}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{BDE72C54-3ED4-4374-9E0D-813EC89F746F}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{57D7725A-02E9-460E-9C78-C870879170AF}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{5289EDA6-D430-41EA-AFD1-AC5D55DA1D49}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{472BBD5A-3090-42EF-B0DE-8BAFECBDBC08}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{58DC93AF-2C12-42D4-8EAD-7078F6A1201A}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{BAB0553C-52D9-443F-974C-56D89FA21693}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{39CC2472-7A70-421F-8266-731D67CDEEEF}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{D7B9C1B1-DE1E-42F7-A647-2E3C89DF5095}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{3DCEFAEF-603B-43F0-B6B7-B06F99E6DB9B}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{A3370E53-7F2C-4820-A77E-080DBA53E540}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{D8A278EA-F810-48C4-83AF-B986E92F1D95}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{5B17F71C-3BC6-47DF-A1F8-DD355B7E3820}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{85EED5BF-6EB8-45C3-A335-7E031DBF1444}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{81C4D809-F57A-4499-8C14-79F170C22A2A}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-0.35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-2.15</c:v>
                </c:pt>
                <c:pt idx="14">
                  <c:v>#N/A</c:v>
                </c:pt>
                <c:pt idx="15">
                  <c:v>#N/A</c:v>
                </c:pt>
                <c:pt idx="16">
                  <c:v>-0.4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-2.5</c:v>
                </c:pt>
                <c:pt idx="22">
                  <c:v>#N/A</c:v>
                </c:pt>
                <c:pt idx="23">
                  <c:v>#N/A</c:v>
                </c:pt>
                <c:pt idx="24">
                  <c:v>-2.99</c:v>
                </c:pt>
                <c:pt idx="25">
                  <c:v>-1.78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6736-4055-99F0-245D9A42BEF0}"/>
            </c:ext>
          </c:extLst>
        </c:ser>
        <c:ser>
          <c:idx val="6"/>
          <c:order val="6"/>
          <c:tx>
            <c:strRef>
              <c:f>'ID99'!$V$13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'ID99'!$N$14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{13B0EDA5-968E-4607-BC71-A1E689E32038}</c15:txfldGUID>
                      <c15:f>'ID99'!$N$14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6736-4055-99F0-245D9A42BEF0}"/>
                </c:ext>
              </c:extLst>
            </c:dLbl>
            <c:dLbl>
              <c:idx val="1"/>
              <c:tx>
                <c:strRef>
                  <c:f>'ID99'!$N$15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{53C99867-E3EB-4F2A-BAD1-54D4BEE3869C}</c15:txfldGUID>
                      <c15:f>'ID99'!$N$15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6736-4055-99F0-245D9A42BEF0}"/>
                </c:ext>
              </c:extLst>
            </c:dLbl>
            <c:dLbl>
              <c:idx val="2"/>
              <c:tx>
                <c:strRef>
                  <c:f>'ID99'!$N$16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{6F757E0D-3460-41E6-AD54-B8CC7CEF6DFC}</c15:txfldGUID>
                      <c15:f>'ID99'!$N$16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6736-4055-99F0-245D9A42BEF0}"/>
                </c:ext>
              </c:extLst>
            </c:dLbl>
            <c:dLbl>
              <c:idx val="3"/>
              <c:tx>
                <c:strRef>
                  <c:f>'ID99'!$N$17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{170016A6-CF62-4C3E-BEB6-4C57381021E0}</c15:txfldGUID>
                      <c15:f>'ID99'!$N$17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6736-4055-99F0-245D9A42BEF0}"/>
                </c:ext>
              </c:extLst>
            </c:dLbl>
            <c:dLbl>
              <c:idx val="4"/>
              <c:tx>
                <c:strRef>
                  <c:f>'ID99'!$N$18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{E6A95FA6-FECD-466C-9F83-BAFBB679DC60}</c15:txfldGUID>
                      <c15:f>'ID99'!$N$18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6736-4055-99F0-245D9A42BEF0}"/>
                </c:ext>
              </c:extLst>
            </c:dLbl>
            <c:dLbl>
              <c:idx val="5"/>
              <c:tx>
                <c:strRef>
                  <c:f>'ID99'!$N$19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{7F8E816F-8C5D-476D-B566-6C35CDEBD027}</c15:txfldGUID>
                      <c15:f>'ID99'!$N$19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6736-4055-99F0-245D9A42BEF0}"/>
                </c:ext>
              </c:extLst>
            </c:dLbl>
            <c:dLbl>
              <c:idx val="6"/>
              <c:tx>
                <c:strRef>
                  <c:f>'ID99'!$N$20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{09F9D289-7547-4D9C-8471-AD835D096D00}</c15:txfldGUID>
                      <c15:f>'ID99'!$N$20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6736-4055-99F0-245D9A42BEF0}"/>
                </c:ext>
              </c:extLst>
            </c:dLbl>
            <c:dLbl>
              <c:idx val="7"/>
              <c:tx>
                <c:strRef>
                  <c:f>'ID99'!$N$21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{2C145BAD-9F42-49AB-8B64-50E3E3875846}</c15:txfldGUID>
                      <c15:f>'ID99'!$N$21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6736-4055-99F0-245D9A42BEF0}"/>
                </c:ext>
              </c:extLst>
            </c:dLbl>
            <c:dLbl>
              <c:idx val="8"/>
              <c:tx>
                <c:strRef>
                  <c:f>'ID99'!$N$22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{29C90AF6-50DE-4D57-AEAD-8888D91D064A}</c15:txfldGUID>
                      <c15:f>'ID99'!$N$22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6736-4055-99F0-245D9A42BEF0}"/>
                </c:ext>
              </c:extLst>
            </c:dLbl>
            <c:dLbl>
              <c:idx val="9"/>
              <c:tx>
                <c:strRef>
                  <c:f>'ID99'!$N$23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{EAF276C7-78C3-4563-99BA-338E281B85CA}</c15:txfldGUID>
                      <c15:f>'ID99'!$N$23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6736-4055-99F0-245D9A42BEF0}"/>
                </c:ext>
              </c:extLst>
            </c:dLbl>
            <c:dLbl>
              <c:idx val="10"/>
              <c:tx>
                <c:strRef>
                  <c:f>'ID99'!$N$24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{CB2ACED0-38B1-4DA4-BD9C-84103A54BE39}</c15:txfldGUID>
                      <c15:f>'ID99'!$N$24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6736-4055-99F0-245D9A42BEF0}"/>
                </c:ext>
              </c:extLst>
            </c:dLbl>
            <c:dLbl>
              <c:idx val="11"/>
              <c:tx>
                <c:strRef>
                  <c:f>'ID99'!$N$25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{5F1A3530-C724-42AD-8252-1AC5E204E5BB}</c15:txfldGUID>
                      <c15:f>'ID99'!$N$25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6736-4055-99F0-245D9A42BEF0}"/>
                </c:ext>
              </c:extLst>
            </c:dLbl>
            <c:dLbl>
              <c:idx val="12"/>
              <c:tx>
                <c:strRef>
                  <c:f>'ID99'!$N$26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{43D7B634-EBAF-4F3F-AFAB-D5FC785DCE40}</c15:txfldGUID>
                      <c15:f>'ID99'!$N$26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6736-4055-99F0-245D9A42BEF0}"/>
                </c:ext>
              </c:extLst>
            </c:dLbl>
            <c:dLbl>
              <c:idx val="13"/>
              <c:tx>
                <c:strRef>
                  <c:f>'ID99'!$N$27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{B90584AD-64B1-43D7-B7D0-3631EBD0443C}</c15:txfldGUID>
                      <c15:f>'ID99'!$N$27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6736-4055-99F0-245D9A42BEF0}"/>
                </c:ext>
              </c:extLst>
            </c:dLbl>
            <c:dLbl>
              <c:idx val="14"/>
              <c:tx>
                <c:strRef>
                  <c:f>'ID99'!$N$28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{186196BB-7667-4050-84E1-450C74701D7D}</c15:txfldGUID>
                      <c15:f>'ID99'!$N$28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6736-4055-99F0-245D9A42BEF0}"/>
                </c:ext>
              </c:extLst>
            </c:dLbl>
            <c:dLbl>
              <c:idx val="15"/>
              <c:tx>
                <c:strRef>
                  <c:f>'ID99'!$N$29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{B255AF8D-BE81-4A1A-A122-FE5C91641852}</c15:txfldGUID>
                      <c15:f>'ID99'!$N$29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6736-4055-99F0-245D9A42BEF0}"/>
                </c:ext>
              </c:extLst>
            </c:dLbl>
            <c:dLbl>
              <c:idx val="16"/>
              <c:tx>
                <c:strRef>
                  <c:f>'ID99'!$N$30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{47237E13-3B6F-47C6-BB91-E7B9047D8849}</c15:txfldGUID>
                      <c15:f>'ID99'!$N$30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6736-4055-99F0-245D9A42BEF0}"/>
                </c:ext>
              </c:extLst>
            </c:dLbl>
            <c:dLbl>
              <c:idx val="17"/>
              <c:tx>
                <c:strRef>
                  <c:f>'ID99'!$N$31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{5051AC58-35F4-46B3-93DB-4F9ED59EB68F}</c15:txfldGUID>
                      <c15:f>'ID99'!$N$31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6736-4055-99F0-245D9A42BEF0}"/>
                </c:ext>
              </c:extLst>
            </c:dLbl>
            <c:dLbl>
              <c:idx val="18"/>
              <c:tx>
                <c:strRef>
                  <c:f>'ID99'!$N$32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{8B053040-860A-4AB9-97B4-E74B33EDEBEA}</c15:txfldGUID>
                      <c15:f>'ID99'!$N$32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6736-4055-99F0-245D9A42BEF0}"/>
                </c:ext>
              </c:extLst>
            </c:dLbl>
            <c:dLbl>
              <c:idx val="19"/>
              <c:tx>
                <c:strRef>
                  <c:f>'ID99'!$N$33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{46B263C3-B288-41A4-A889-451E4EE3B24A}</c15:txfldGUID>
                      <c15:f>'ID99'!$N$33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6736-4055-99F0-245D9A42BEF0}"/>
                </c:ext>
              </c:extLst>
            </c:dLbl>
            <c:dLbl>
              <c:idx val="20"/>
              <c:tx>
                <c:strRef>
                  <c:f>'ID99'!$N$34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{48A750E8-44D3-4C1E-9606-997ADDC38808}</c15:txfldGUID>
                      <c15:f>'ID99'!$N$34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6736-4055-99F0-245D9A42BEF0}"/>
                </c:ext>
              </c:extLst>
            </c:dLbl>
            <c:dLbl>
              <c:idx val="21"/>
              <c:tx>
                <c:strRef>
                  <c:f>'ID99'!$N$35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{FBAC58E0-B190-4FD7-AB71-000EF9C8EAD8}</c15:txfldGUID>
                      <c15:f>'ID99'!$N$35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6736-4055-99F0-245D9A42BEF0}"/>
                </c:ext>
              </c:extLst>
            </c:dLbl>
            <c:dLbl>
              <c:idx val="22"/>
              <c:tx>
                <c:strRef>
                  <c:f>'ID99'!$N$36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{A7699412-7949-450B-852A-258303DB9F9A}</c15:txfldGUID>
                      <c15:f>'ID99'!$N$36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6736-4055-99F0-245D9A42BEF0}"/>
                </c:ext>
              </c:extLst>
            </c:dLbl>
            <c:dLbl>
              <c:idx val="23"/>
              <c:tx>
                <c:strRef>
                  <c:f>'ID99'!$N$37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{021169C3-3B20-40C5-8EFC-D2004EB7EAD8}</c15:txfldGUID>
                      <c15:f>'ID99'!$N$37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6736-4055-99F0-245D9A42BEF0}"/>
                </c:ext>
              </c:extLst>
            </c:dLbl>
            <c:dLbl>
              <c:idx val="24"/>
              <c:tx>
                <c:strRef>
                  <c:f>'ID99'!$N$38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{996B3D56-D293-4511-97CA-113FD7696C45}</c15:txfldGUID>
                      <c15:f>'ID99'!$N$38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6736-4055-99F0-245D9A42BEF0}"/>
                </c:ext>
              </c:extLst>
            </c:dLbl>
            <c:dLbl>
              <c:idx val="25"/>
              <c:tx>
                <c:strRef>
                  <c:f>'ID99'!$N$39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{664A53FD-FBA2-4A0B-ADFF-C6DD031438F3}</c15:txfldGUID>
                      <c15:f>'ID99'!$N$39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6736-4055-99F0-245D9A42BEF0}"/>
                </c:ext>
              </c:extLst>
            </c:dLbl>
            <c:dLbl>
              <c:idx val="26"/>
              <c:tx>
                <c:strRef>
                  <c:f>'ID99'!$N$40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{4A3E693F-4907-4F29-B71C-BAE816969246}</c15:txfldGUID>
                      <c15:f>'ID99'!$N$40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6736-4055-99F0-245D9A42BEF0}"/>
                </c:ext>
              </c:extLst>
            </c:dLbl>
            <c:dLbl>
              <c:idx val="27"/>
              <c:tx>
                <c:strRef>
                  <c:f>'ID99'!$N$41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{C20F6DCF-A1CF-4E95-9D39-F694B043C657}</c15:txfldGUID>
                      <c15:f>'ID99'!$N$41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6736-4055-99F0-245D9A42B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'ID99'!$O$14:$O$40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3.3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6736-4055-99F0-245D9A42BEF0}"/>
            </c:ext>
          </c:extLst>
        </c:ser>
        <c:ser>
          <c:idx val="7"/>
          <c:order val="7"/>
          <c:tx>
            <c:strRef>
              <c:f>'ID99'!$J$48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'ID99'!$K$48:$K$49</c:f>
              <c:numCache>
                <c:formatCode>0.0</c:formatCode>
                <c:ptCount val="2"/>
                <c:pt idx="0">
                  <c:v>15.6</c:v>
                </c:pt>
                <c:pt idx="1">
                  <c:v>57.75</c:v>
                </c:pt>
              </c:numCache>
            </c:numRef>
          </c:xVal>
          <c:yVal>
            <c:numRef>
              <c:f>'ID99'!$L$48:$L$49</c:f>
              <c:numCache>
                <c:formatCode>0.000</c:formatCode>
                <c:ptCount val="2"/>
                <c:pt idx="0" formatCode="General">
                  <c:v>-0.60925925925925928</c:v>
                </c:pt>
                <c:pt idx="1">
                  <c:v>-0.60925925925925928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6736-4055-99F0-245D9A42BEF0}"/>
            </c:ext>
          </c:extLst>
        </c:ser>
        <c:ser>
          <c:idx val="8"/>
          <c:order val="8"/>
          <c:tx>
            <c:strRef>
              <c:f>'ID99'!$J$51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'ID99'!$K$51:$K$52</c:f>
              <c:numCache>
                <c:formatCode>0.000</c:formatCode>
                <c:ptCount val="2"/>
                <c:pt idx="0">
                  <c:v>33.664444444444435</c:v>
                </c:pt>
                <c:pt idx="1">
                  <c:v>33.664444444444435</c:v>
                </c:pt>
              </c:numCache>
            </c:numRef>
          </c:xVal>
          <c:yVal>
            <c:numRef>
              <c:f>'ID99'!$L$51:$L$52</c:f>
              <c:numCache>
                <c:formatCode>0.0</c:formatCode>
                <c:ptCount val="2"/>
                <c:pt idx="0">
                  <c:v>-6.31</c:v>
                </c:pt>
                <c:pt idx="1">
                  <c:v>4.68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6736-4055-99F0-245D9A42BEF0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'ID99'!$K$14:$K$40</c:f>
              <c:numCache>
                <c:formatCode>General</c:formatCode>
                <c:ptCount val="27"/>
                <c:pt idx="0">
                  <c:v>39.18</c:v>
                </c:pt>
                <c:pt idx="1">
                  <c:v>50.8</c:v>
                </c:pt>
                <c:pt idx="2">
                  <c:v>27.72</c:v>
                </c:pt>
                <c:pt idx="3">
                  <c:v>30.5</c:v>
                </c:pt>
                <c:pt idx="4">
                  <c:v>39.51</c:v>
                </c:pt>
                <c:pt idx="5">
                  <c:v>41.7</c:v>
                </c:pt>
                <c:pt idx="6">
                  <c:v>51.44</c:v>
                </c:pt>
                <c:pt idx="7">
                  <c:v>27.65</c:v>
                </c:pt>
                <c:pt idx="8">
                  <c:v>18.18</c:v>
                </c:pt>
                <c:pt idx="9">
                  <c:v>22.9</c:v>
                </c:pt>
                <c:pt idx="10">
                  <c:v>48.74</c:v>
                </c:pt>
                <c:pt idx="11">
                  <c:v>41.89</c:v>
                </c:pt>
                <c:pt idx="12">
                  <c:v>20.9</c:v>
                </c:pt>
                <c:pt idx="13">
                  <c:v>34.5</c:v>
                </c:pt>
                <c:pt idx="14">
                  <c:v>57.75</c:v>
                </c:pt>
                <c:pt idx="15">
                  <c:v>30.51</c:v>
                </c:pt>
                <c:pt idx="16">
                  <c:v>29.93</c:v>
                </c:pt>
                <c:pt idx="17">
                  <c:v>27.41</c:v>
                </c:pt>
                <c:pt idx="18">
                  <c:v>23.47</c:v>
                </c:pt>
                <c:pt idx="19">
                  <c:v>25.56</c:v>
                </c:pt>
                <c:pt idx="20">
                  <c:v>38.39</c:v>
                </c:pt>
                <c:pt idx="21">
                  <c:v>36.07</c:v>
                </c:pt>
                <c:pt idx="22">
                  <c:v>19.809999999999999</c:v>
                </c:pt>
                <c:pt idx="23">
                  <c:v>15.6</c:v>
                </c:pt>
                <c:pt idx="24">
                  <c:v>36.86</c:v>
                </c:pt>
                <c:pt idx="25">
                  <c:v>35.53</c:v>
                </c:pt>
                <c:pt idx="26">
                  <c:v>36.44</c:v>
                </c:pt>
              </c:numCache>
            </c:numRef>
          </c:xVal>
          <c:yVal>
            <c:numRef>
              <c:f>'ID99'!$L$14:$L$40</c:f>
              <c:numCache>
                <c:formatCode>General</c:formatCode>
                <c:ptCount val="27"/>
                <c:pt idx="0">
                  <c:v>-2.78</c:v>
                </c:pt>
                <c:pt idx="1">
                  <c:v>1.96</c:v>
                </c:pt>
                <c:pt idx="2">
                  <c:v>3.3</c:v>
                </c:pt>
                <c:pt idx="3">
                  <c:v>-0.35</c:v>
                </c:pt>
                <c:pt idx="4">
                  <c:v>-0.49</c:v>
                </c:pt>
                <c:pt idx="5">
                  <c:v>-0.49</c:v>
                </c:pt>
                <c:pt idx="6">
                  <c:v>1.04</c:v>
                </c:pt>
                <c:pt idx="7">
                  <c:v>-0.43</c:v>
                </c:pt>
                <c:pt idx="8">
                  <c:v>-2.16</c:v>
                </c:pt>
                <c:pt idx="9">
                  <c:v>-4.5</c:v>
                </c:pt>
                <c:pt idx="10">
                  <c:v>-1.06</c:v>
                </c:pt>
                <c:pt idx="11">
                  <c:v>-0.12</c:v>
                </c:pt>
                <c:pt idx="12">
                  <c:v>0.55000000000000004</c:v>
                </c:pt>
                <c:pt idx="13">
                  <c:v>-2.15</c:v>
                </c:pt>
                <c:pt idx="14">
                  <c:v>0.56000000000000005</c:v>
                </c:pt>
                <c:pt idx="15">
                  <c:v>4.68</c:v>
                </c:pt>
                <c:pt idx="16">
                  <c:v>-0.4</c:v>
                </c:pt>
                <c:pt idx="17">
                  <c:v>-6.31</c:v>
                </c:pt>
                <c:pt idx="18">
                  <c:v>-1.53</c:v>
                </c:pt>
                <c:pt idx="19">
                  <c:v>-0.87</c:v>
                </c:pt>
                <c:pt idx="20">
                  <c:v>4.5999999999999996</c:v>
                </c:pt>
                <c:pt idx="21">
                  <c:v>-2.5</c:v>
                </c:pt>
                <c:pt idx="22">
                  <c:v>-3.91</c:v>
                </c:pt>
                <c:pt idx="23">
                  <c:v>-0.94</c:v>
                </c:pt>
                <c:pt idx="24">
                  <c:v>-2.99</c:v>
                </c:pt>
                <c:pt idx="25">
                  <c:v>-1.78</c:v>
                </c:pt>
                <c:pt idx="26">
                  <c:v>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6736-4055-99F0-245D9A42B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'ID99'!$K$5</c:f>
              <c:strCache>
                <c:ptCount val="1"/>
                <c:pt idx="0">
                  <c:v>Impact of social transfers (other than pensions) on poverty reduction (% reduction of AROP)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'ID99'!$K$9</c:f>
              <c:strCache>
                <c:ptCount val="1"/>
                <c:pt idx="0">
                  <c:v>Impact of social transfers (other than pensions) on poverty reduction (% reduction of AROP)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'ID106'!$P$13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{40F9CDD3-FE93-4BE1-A655-CC595E5255C0}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{309167D6-3B65-4B90-B4D0-6DCB80CF3874}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{E76B7DDC-EB3D-4370-A0D2-9D34F092ECCE}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{7C336B05-3414-402F-8213-03383114F977}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{94B62A02-FD21-484D-A147-5CF8717D897D}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{95C943BD-7F2E-465E-8879-5FC742A94160}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{27FF470B-9A7C-463B-AF1E-2EF8190AB394}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{2E3C8F3E-4D98-433B-828C-C6D059C1EA54}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{E2928959-939E-4386-A683-280F6B940F8C}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{17AD3295-DF9C-4746-8636-12440D803961}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{7727905D-487D-4D78-A68E-076084381DB5}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{6FC07B2E-7D4E-47AE-986F-EEEB008099E6}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{A3948825-46A0-4B46-A56C-C970260271CD}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{66919121-DE59-4DA3-8044-1E5275882C52}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{F193AE14-F041-427C-A951-365141D76C93}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{C77F6048-367D-4C4F-87A4-6630484415A1}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{181CA529-6ADB-4AB5-81B5-47BC9410A7FA}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{A66CFD81-61EB-4DC9-A848-0996C827BCD8}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{531E5313-9AF6-4DDB-9FB1-B22EC5739374}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{947A636A-3CA8-4E61-8FCA-A8D157443331}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{C9A8FCB3-636C-4495-A4B0-7913E52766EF}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{F0156A17-EF49-4D55-8441-D6BBC9831F38}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{EF210583-3A65-49DD-8460-1ED63CA4CC71}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{95577C0B-4BB0-4990-AE38-BE366E4DE317}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{D88A5D4B-679A-4342-8589-97A0772BF613}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{9A5E62D6-53E7-4F23-83D6-A1FE53EF4F4A}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{904C7AB6-9B85-427D-8F84-0BA30EE06FEE}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{949B1D0C-0883-4648-9E4A-F1FA87BF6F92}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EA6-418B-BFD2-90B7E9FC32AB}"/>
            </c:ext>
          </c:extLst>
        </c:ser>
        <c:ser>
          <c:idx val="2"/>
          <c:order val="1"/>
          <c:tx>
            <c:strRef>
              <c:f>'ID106'!$Q$13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{6C73C24D-671F-47F2-AC5A-31B8BDF18837}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{C48C9CB7-136F-4988-9600-D005E5B2B367}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{6B239C2F-9F2A-49F2-B7FC-FF05051FF899}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{65DE81D8-BDA8-436C-B095-7E2C01CE1AF9}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{FA40AEF4-F6A3-4480-8359-74BD48820F1E}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{E9BDE90D-A2C2-4F50-9574-079D4BBDFE2C}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{4A15AB53-C457-4481-A54B-97D410C65B51}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{AA552433-1C2D-409E-8188-6E98E2A68FF3}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{3F57EC39-F54C-443B-BA52-312F45A9EDFD}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{F616AD62-9A42-44EF-848F-2582477922C1}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{DA250CA4-BAA2-4C1A-BAB1-4B6114E0EEAA}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{7D6271E5-D4E1-47E2-83BC-3DC3781BAE20}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{B688FD3E-74C2-4802-A0FA-5EE56D5A4757}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{BA61806B-6A87-4F98-BFFE-AA4CACE26333}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{CBDFAC1A-D972-46C6-9623-5185D4273279}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{87CF5379-B897-455B-A7C8-FA378971DE13}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{226C8886-91D7-42FA-87FC-112C95F77DEC}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{EC67BF36-10F5-4B26-83E5-BC021CC11D12}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{ED2097F8-DF4C-4D8E-A17E-68BAA989FB67}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{A6C8169E-3258-4CDD-A8F8-009A849A7069}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{295E09D5-32EC-48E7-82C5-52791CDD9A8E}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{C550540C-4A73-4181-895B-47A0DECCD10E}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{18B5891E-3F09-43C4-AC11-B9A3FF3E3CE9}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{F9601DB9-CC2E-4376-855C-D1281EB350D8}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{BB616D0D-0554-4713-9502-772491B7F9CE}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{976C4ED0-F0B3-4362-A7DC-FA215FB566AF}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{13751CDA-7C30-4139-BB25-BF1555E2BED9}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{6C7FF8A7-7474-4D58-A4ED-90F5542F3254}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-0.8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0.9</c:v>
                </c:pt>
                <c:pt idx="23">
                  <c:v>#N/A</c:v>
                </c:pt>
                <c:pt idx="24">
                  <c:v>#N/A</c:v>
                </c:pt>
                <c:pt idx="25">
                  <c:v>-1.5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EA6-418B-BFD2-90B7E9FC32AB}"/>
            </c:ext>
          </c:extLst>
        </c:ser>
        <c:ser>
          <c:idx val="3"/>
          <c:order val="2"/>
          <c:tx>
            <c:strRef>
              <c:f>'ID106'!$R$13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{505CD128-4B56-40D6-ACAE-9750DBC264EF}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{6932F217-0573-4DD6-9F85-7F1589D7E531}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{9152C81D-CFFF-4097-9EDF-92EB6BC86799}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{6DD44094-A29D-414A-A41D-89F923F42F4C}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{437CAC23-9A20-4A69-B6F7-68FEB7652DC9}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{F0ABD9EC-C756-4B3D-B35E-84E921880895}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{9ECE2AC4-7B40-4B4D-9B2C-4526AE955A42}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{0B7601E7-DC79-40BE-9689-6A3A9699E336}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{CB727E33-F33F-4214-AED7-244D162E4A95}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{FFC55A82-96A7-4DEA-AEF4-E4998329C12F}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{00413573-7091-49CC-A389-DDA4F4182F34}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{19102C50-28F5-49C3-85DC-E3EAC1D0CE80}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{6F6571C7-4BE0-4E0F-8CDF-3DA61D6C05F0}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{E2996F75-B9DF-4AB1-9270-4AE6F5C7A553}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{5AC35834-30C2-4A25-BD28-DD45085EFA71}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{5198DC38-5871-4B16-A248-20F1D2CC1E7A}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{05A3B03E-1768-452C-AD83-CB4830D7FF0B}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{E23DD06A-0D5A-478B-9054-C475CEFA3152}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{D2AA2B20-95E8-44D2-8592-C15B805D7DB2}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{EB2F77AD-DD85-4910-BA12-F77F8E3E73BB}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{18F5AFB8-9974-48A2-856E-B2B82138757F}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{D52E0878-050C-479A-BF4C-9F4AE307F33B}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{D3B761CB-9FBB-4471-870F-EBC327FBD9DA}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{67FA8D05-59A4-4836-8872-E77F1323F3BF}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{6C3A0072-91FA-46BF-97FA-531821D4CF56}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{AFE8BCD2-C05C-4A8F-8B3C-F245B2F45CE8}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{FEA6D602-36B4-4788-8BAB-55CC39E10C24}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{FC4A1DC9-2A18-4E93-8787-405CB4129AA0}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-6</c:v>
                </c:pt>
                <c:pt idx="8">
                  <c:v>#N/A</c:v>
                </c:pt>
                <c:pt idx="9">
                  <c:v>#N/A</c:v>
                </c:pt>
                <c:pt idx="10">
                  <c:v>0.4</c:v>
                </c:pt>
                <c:pt idx="11">
                  <c:v>-0.9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-2.2999999999999998</c:v>
                </c:pt>
                <c:pt idx="19">
                  <c:v>-4.3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EA6-418B-BFD2-90B7E9FC32AB}"/>
            </c:ext>
          </c:extLst>
        </c:ser>
        <c:ser>
          <c:idx val="4"/>
          <c:order val="3"/>
          <c:tx>
            <c:strRef>
              <c:f>'ID106'!$S$13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{77DDFEA9-9E0C-43BF-B197-50FA253ECE84}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{A11B5EEC-5EE9-4815-B66F-170397041214}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{765949AB-8055-4C94-9292-BE987001327F}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{F13A58F7-6843-446B-8686-BE1494931077}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{A1483A77-AD40-4E47-82A8-35B275EC8AD6}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{051A86D4-7BF1-4D60-AF21-654EFA120E72}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{15289A43-DD03-4C7F-802F-E4098CEF74A8}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{3D2F190D-E35E-40F2-B000-062140875A1B}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{CF573B8A-6E0E-4146-93CE-F3DFCEA1BBF4}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{C08B47B3-C970-403E-98A3-5F40F507E32B}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{5CE41A76-1A99-4EBC-B766-36368F2468C3}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{26708CDE-6474-46D7-A0CD-08682FDB1875}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{5FB38BFB-2A89-4C71-88EA-8446FC5C883E}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{0D12CEB0-5327-49BF-A714-5A9F5BE5237F}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{8D61D794-97C6-48A5-BAF7-2820D9A4953E}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{2DB68BDA-92BF-45D0-AD9C-9082F9F08DFA}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{A169351A-945D-4E42-8EFD-15186E9B42AA}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{842594AA-37E5-46D6-BA3D-969FC52B0DD2}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{2BE7D6A7-0945-493B-8C64-23337863896A}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{D9327A04-2338-4E02-84C0-E0D7DD3D2D72}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{77CEED5D-D4D5-4039-AA1E-D98163507BF6}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{1BD34223-E4E0-432A-80AA-A78EF45C22C5}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{1E94F081-A1AB-4EFE-AA02-0E53E9AC3BF5}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{D592614D-79B7-4EAB-B8A5-3FDECD8A6204}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{EF107BB4-C810-4193-97CE-D8B5CDC4B02E}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{7355FDC1-E5A6-48A0-982C-1EBE6DDA3BB5}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{C7F551BB-D354-4436-9F16-47F51E9B2F79}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{8B41F595-4126-4EF0-A8BD-9749C3E23F23}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-2.8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15.2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-2.8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EA6-418B-BFD2-90B7E9FC32AB}"/>
            </c:ext>
          </c:extLst>
        </c:ser>
        <c:ser>
          <c:idx val="5"/>
          <c:order val="4"/>
          <c:tx>
            <c:strRef>
              <c:f>'ID106'!$T$13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{38C9E60E-C245-4701-961C-2911FE8963BA}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{EFBDCDFB-B6B0-4BEA-BCDD-EABBA6480344}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{424183D6-203F-4578-8B5F-CFE453901B1D}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{C6F0B5E5-B909-41B2-8A94-DAE21EEDAC03}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{514C3D81-0666-477C-B85C-8D1D8873F1F1}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{EEA26028-2422-423B-B574-0AB0077C591C}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{32755637-17C9-471A-BA7A-5FAD933E797A}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{7D1D462F-451F-4A07-8FAB-D08D706B571A}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{C1AD3B70-4932-41D3-AC30-8673ABC9C088}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{086E5566-881C-4460-8737-9D3D86392F89}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{D640F6AC-7DC8-4BB7-9627-8B82AA534809}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{111264A1-5E0B-4510-B2D1-FF72B6137EF2}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{594C7701-412D-4077-ACE5-98190A869B8D}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{1454D51C-C2ED-4028-B85B-28B8F57B3C6C}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{26652C1C-EF0F-4960-9A7E-B9929546397A}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{44DFFF0C-820F-48C1-8544-392646BA7B87}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{53BA4BFD-9D08-41BD-9624-8A124417B9C4}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{573B919F-3A2A-4E9C-961F-CEFA97876040}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{9B31A30A-5F75-41FE-8505-936E46714332}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{D1F2FD2D-45D1-4133-A399-6ECC83B20331}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{29431DB0-5780-41F0-B76D-D17272C6075A}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{E29C18EE-C42B-42F4-9CF5-A7429089A4D0}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{B6480AE9-2481-4A20-BECF-838638421473}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{238C7275-26B5-45DD-A9D1-7D62C555A100}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{5425B81F-6AF4-46BA-94C6-E112101262A2}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{B95DF6D1-9EBF-44A6-A70F-4CF374F765BD}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{39359F20-A30F-4260-92CE-7F22CF5BEAA0}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{6BF8B9A6-FFA5-407B-B426-A8D59DC65402}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-1.7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3.2</c:v>
                </c:pt>
                <c:pt idx="13">
                  <c:v>#N/A</c:v>
                </c:pt>
                <c:pt idx="14">
                  <c:v>0.1</c:v>
                </c:pt>
                <c:pt idx="15">
                  <c:v>#N/A</c:v>
                </c:pt>
                <c:pt idx="16">
                  <c:v>-2.6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2.6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EA6-418B-BFD2-90B7E9FC32AB}"/>
            </c:ext>
          </c:extLst>
        </c:ser>
        <c:ser>
          <c:idx val="0"/>
          <c:order val="5"/>
          <c:tx>
            <c:strRef>
              <c:f>'ID106'!$U$13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{BB017925-0B7D-412A-82CC-1C4348FA493A}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{821CB5B3-892C-4FD5-BEB1-B92FDCEA6123}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{02097F3D-58AA-4611-AF83-05689BF6B22D}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{F038D1F8-B092-430C-B271-7E97E0B6D2C8}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{A5B2DDBB-782A-4801-BC1D-CF91F428809F}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{41CCB252-7398-4115-84B3-0DFE40538458}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{F24066A3-FC8D-4255-ACB9-AAF04561B0D3}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{19C17725-40FD-4F3F-B71E-69BD257F4535}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{34DC22F2-1C0C-4070-857E-BE230A0D9EC1}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{FFE9413B-B760-42B2-AA9C-96841F0D6E98}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{3E4DE14C-9862-42D0-8128-8236AA4D9EB3}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{78B26346-B2C1-4BD9-BAAA-C3EF746BE24F}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{2197DF2B-5CC2-4D3A-B6B3-42605EAA2B27}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{103F3E02-FA72-4F2E-861C-2F8AEF6C9EF0}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{E4F399D6-9662-493D-A753-00097CCA6FD1}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{F260CBDB-60B4-4875-B5AB-C702B57B8FB0}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{BE42B209-1D99-4F85-94A3-CF893073F32A}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{90E4DFC4-8222-4CF0-AC5F-F6279BF13535}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{A00A353B-8032-4CB8-A1F8-DC72064678B3}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{457E4579-2420-459D-AA7A-4D68E1757A52}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{038D2BE1-2253-4FE8-AB2D-6A0D3F6E6046}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{243E129D-4FDE-43AE-953D-91A276DC2837}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{EBC103C6-DA28-474D-88E9-7F6BEF4C23B0}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{831E9564-9885-4C93-B8F8-CCB11BC43EF1}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{9354183A-6E0F-452F-B091-9FA89F472439}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{8A25469D-F647-4D93-A892-B15443834810}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{610FE9D7-DF59-4D51-A8F3-D171EDEC8BC0}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{73BADFEE-18C8-49CF-BF1B-2D621EDD4C3D}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'ID106'!$U$14:$U$40</c:f>
              <c:numCache>
                <c:formatCode>General</c:formatCode>
                <c:ptCount val="27"/>
                <c:pt idx="0">
                  <c:v>2.2999999999999998</c:v>
                </c:pt>
                <c:pt idx="1">
                  <c:v>#N/A</c:v>
                </c:pt>
                <c:pt idx="2">
                  <c:v>#N/A</c:v>
                </c:pt>
                <c:pt idx="3">
                  <c:v>-1</c:v>
                </c:pt>
                <c:pt idx="4">
                  <c:v>-0.5</c:v>
                </c:pt>
                <c:pt idx="5">
                  <c:v>-1.6</c:v>
                </c:pt>
                <c:pt idx="6">
                  <c:v>#N/A</c:v>
                </c:pt>
                <c:pt idx="7">
                  <c:v>#N/A</c:v>
                </c:pt>
                <c:pt idx="8">
                  <c:v>0.1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-1.4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-2.5</c:v>
                </c:pt>
                <c:pt idx="25">
                  <c:v>#N/A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6EA6-418B-BFD2-90B7E9FC32AB}"/>
            </c:ext>
          </c:extLst>
        </c:ser>
        <c:ser>
          <c:idx val="6"/>
          <c:order val="6"/>
          <c:tx>
            <c:strRef>
              <c:f>'ID106'!$V$13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'ID106'!$N$14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{C1BCC132-A49F-4712-BB60-21FD4C1222F9}</c15:txfldGUID>
                      <c15:f>'ID106'!$N$14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6EA6-418B-BFD2-90B7E9FC32AB}"/>
                </c:ext>
              </c:extLst>
            </c:dLbl>
            <c:dLbl>
              <c:idx val="1"/>
              <c:tx>
                <c:strRef>
                  <c:f>'ID106'!$N$15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{81447C96-43DE-49CD-9EF4-F8E427AA6C2D}</c15:txfldGUID>
                      <c15:f>'ID106'!$N$15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6EA6-418B-BFD2-90B7E9FC32AB}"/>
                </c:ext>
              </c:extLst>
            </c:dLbl>
            <c:dLbl>
              <c:idx val="2"/>
              <c:tx>
                <c:strRef>
                  <c:f>'ID106'!$N$16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{66177DF9-ADCA-451C-BA6B-D935F36BC1DE}</c15:txfldGUID>
                      <c15:f>'ID106'!$N$16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6EA6-418B-BFD2-90B7E9FC32AB}"/>
                </c:ext>
              </c:extLst>
            </c:dLbl>
            <c:dLbl>
              <c:idx val="3"/>
              <c:tx>
                <c:strRef>
                  <c:f>'ID106'!$N$17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{AEBF9995-9B5F-4F91-94EE-1B7F46CF463E}</c15:txfldGUID>
                      <c15:f>'ID106'!$N$17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6EA6-418B-BFD2-90B7E9FC32AB}"/>
                </c:ext>
              </c:extLst>
            </c:dLbl>
            <c:dLbl>
              <c:idx val="4"/>
              <c:tx>
                <c:strRef>
                  <c:f>'ID106'!$N$18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{77CD541D-B0F1-4E6D-A706-3691DB5C41D6}</c15:txfldGUID>
                      <c15:f>'ID106'!$N$18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6EA6-418B-BFD2-90B7E9FC32AB}"/>
                </c:ext>
              </c:extLst>
            </c:dLbl>
            <c:dLbl>
              <c:idx val="5"/>
              <c:tx>
                <c:strRef>
                  <c:f>'ID106'!$N$19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{2DF08D00-5F73-41AB-B7A8-76A6D4104DEF}</c15:txfldGUID>
                      <c15:f>'ID106'!$N$19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6EA6-418B-BFD2-90B7E9FC32AB}"/>
                </c:ext>
              </c:extLst>
            </c:dLbl>
            <c:dLbl>
              <c:idx val="6"/>
              <c:tx>
                <c:strRef>
                  <c:f>'ID106'!$N$20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{56AAC858-9083-4E6F-A557-164DF77D420C}</c15:txfldGUID>
                      <c15:f>'ID106'!$N$20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6EA6-418B-BFD2-90B7E9FC32AB}"/>
                </c:ext>
              </c:extLst>
            </c:dLbl>
            <c:dLbl>
              <c:idx val="7"/>
              <c:tx>
                <c:strRef>
                  <c:f>'ID106'!$N$21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{5F896E00-04BD-4ECB-8538-83748960AF0C}</c15:txfldGUID>
                      <c15:f>'ID106'!$N$21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6EA6-418B-BFD2-90B7E9FC32AB}"/>
                </c:ext>
              </c:extLst>
            </c:dLbl>
            <c:dLbl>
              <c:idx val="8"/>
              <c:tx>
                <c:strRef>
                  <c:f>'ID106'!$N$22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{3C1B1027-FDDE-4D9E-9078-26B359C975F1}</c15:txfldGUID>
                      <c15:f>'ID106'!$N$22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6EA6-418B-BFD2-90B7E9FC32AB}"/>
                </c:ext>
              </c:extLst>
            </c:dLbl>
            <c:dLbl>
              <c:idx val="9"/>
              <c:tx>
                <c:strRef>
                  <c:f>'ID106'!$N$23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{FEFC7B78-58CD-4347-9178-F3E09FB777BF}</c15:txfldGUID>
                      <c15:f>'ID106'!$N$23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6EA6-418B-BFD2-90B7E9FC32AB}"/>
                </c:ext>
              </c:extLst>
            </c:dLbl>
            <c:dLbl>
              <c:idx val="10"/>
              <c:tx>
                <c:strRef>
                  <c:f>'ID106'!$N$24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{7CF0E952-F0CA-4EAE-A040-28E2F3B30F42}</c15:txfldGUID>
                      <c15:f>'ID106'!$N$24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6EA6-418B-BFD2-90B7E9FC32AB}"/>
                </c:ext>
              </c:extLst>
            </c:dLbl>
            <c:dLbl>
              <c:idx val="11"/>
              <c:tx>
                <c:strRef>
                  <c:f>'ID106'!$N$25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{E2089750-E9C7-43C7-A212-C82D9D4E599F}</c15:txfldGUID>
                      <c15:f>'ID106'!$N$25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6EA6-418B-BFD2-90B7E9FC32AB}"/>
                </c:ext>
              </c:extLst>
            </c:dLbl>
            <c:dLbl>
              <c:idx val="12"/>
              <c:tx>
                <c:strRef>
                  <c:f>'ID106'!$N$26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{57874EB4-CA49-4BD7-8E16-11557F30CD51}</c15:txfldGUID>
                      <c15:f>'ID106'!$N$26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6EA6-418B-BFD2-90B7E9FC32AB}"/>
                </c:ext>
              </c:extLst>
            </c:dLbl>
            <c:dLbl>
              <c:idx val="13"/>
              <c:tx>
                <c:strRef>
                  <c:f>'ID106'!$N$27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{32DB4595-0551-4DF8-818D-D07D51480251}</c15:txfldGUID>
                      <c15:f>'ID106'!$N$27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6EA6-418B-BFD2-90B7E9FC32AB}"/>
                </c:ext>
              </c:extLst>
            </c:dLbl>
            <c:dLbl>
              <c:idx val="14"/>
              <c:tx>
                <c:strRef>
                  <c:f>'ID106'!$N$28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{0D984921-B75A-41BD-80D3-CF3EAA18201E}</c15:txfldGUID>
                      <c15:f>'ID106'!$N$28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6EA6-418B-BFD2-90B7E9FC32AB}"/>
                </c:ext>
              </c:extLst>
            </c:dLbl>
            <c:dLbl>
              <c:idx val="15"/>
              <c:tx>
                <c:strRef>
                  <c:f>'ID106'!$N$29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{8618038B-76D9-4212-A66A-1884AE898741}</c15:txfldGUID>
                      <c15:f>'ID106'!$N$29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6EA6-418B-BFD2-90B7E9FC32AB}"/>
                </c:ext>
              </c:extLst>
            </c:dLbl>
            <c:dLbl>
              <c:idx val="16"/>
              <c:tx>
                <c:strRef>
                  <c:f>'ID106'!$N$30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{29BF339C-9787-47AB-879E-9E5E6F86DF9A}</c15:txfldGUID>
                      <c15:f>'ID106'!$N$30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6EA6-418B-BFD2-90B7E9FC32AB}"/>
                </c:ext>
              </c:extLst>
            </c:dLbl>
            <c:dLbl>
              <c:idx val="17"/>
              <c:tx>
                <c:strRef>
                  <c:f>'ID106'!$N$31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{239FE78F-B643-457F-B9E5-373D377A80D7}</c15:txfldGUID>
                      <c15:f>'ID106'!$N$31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6EA6-418B-BFD2-90B7E9FC32AB}"/>
                </c:ext>
              </c:extLst>
            </c:dLbl>
            <c:dLbl>
              <c:idx val="18"/>
              <c:tx>
                <c:strRef>
                  <c:f>'ID106'!$N$32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{39C72658-199D-408C-A03C-ECC1368608B9}</c15:txfldGUID>
                      <c15:f>'ID106'!$N$32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6EA6-418B-BFD2-90B7E9FC32AB}"/>
                </c:ext>
              </c:extLst>
            </c:dLbl>
            <c:dLbl>
              <c:idx val="19"/>
              <c:tx>
                <c:strRef>
                  <c:f>'ID106'!$N$33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{7A569AE8-0DE8-40C8-8AFC-3FF9362265F4}</c15:txfldGUID>
                      <c15:f>'ID106'!$N$33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6EA6-418B-BFD2-90B7E9FC32AB}"/>
                </c:ext>
              </c:extLst>
            </c:dLbl>
            <c:dLbl>
              <c:idx val="20"/>
              <c:tx>
                <c:strRef>
                  <c:f>'ID106'!$N$34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{77E16AFD-1410-483C-BC91-44A1D0A59E19}</c15:txfldGUID>
                      <c15:f>'ID106'!$N$34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6EA6-418B-BFD2-90B7E9FC32AB}"/>
                </c:ext>
              </c:extLst>
            </c:dLbl>
            <c:dLbl>
              <c:idx val="21"/>
              <c:tx>
                <c:strRef>
                  <c:f>'ID106'!$N$35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{70133A7F-C4BD-4FA0-B9E1-A00A57AED995}</c15:txfldGUID>
                      <c15:f>'ID106'!$N$35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6EA6-418B-BFD2-90B7E9FC32AB}"/>
                </c:ext>
              </c:extLst>
            </c:dLbl>
            <c:dLbl>
              <c:idx val="22"/>
              <c:tx>
                <c:strRef>
                  <c:f>'ID106'!$N$36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{C45497CF-D204-4AF4-BE4F-AC1BC1690121}</c15:txfldGUID>
                      <c15:f>'ID106'!$N$36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6EA6-418B-BFD2-90B7E9FC32AB}"/>
                </c:ext>
              </c:extLst>
            </c:dLbl>
            <c:dLbl>
              <c:idx val="23"/>
              <c:tx>
                <c:strRef>
                  <c:f>'ID106'!$N$37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{552F6A7F-B7AF-4E77-AFA5-996033C59572}</c15:txfldGUID>
                      <c15:f>'ID106'!$N$37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6EA6-418B-BFD2-90B7E9FC32AB}"/>
                </c:ext>
              </c:extLst>
            </c:dLbl>
            <c:dLbl>
              <c:idx val="24"/>
              <c:tx>
                <c:strRef>
                  <c:f>'ID106'!$N$38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{9DD367CB-C8CA-42F4-A69C-A179E5C573CC}</c15:txfldGUID>
                      <c15:f>'ID106'!$N$38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6EA6-418B-BFD2-90B7E9FC32AB}"/>
                </c:ext>
              </c:extLst>
            </c:dLbl>
            <c:dLbl>
              <c:idx val="25"/>
              <c:tx>
                <c:strRef>
                  <c:f>'ID106'!$N$39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{A85A5724-029D-40E7-B054-B1E3EA7D351A}</c15:txfldGUID>
                      <c15:f>'ID106'!$N$39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6EA6-418B-BFD2-90B7E9FC32AB}"/>
                </c:ext>
              </c:extLst>
            </c:dLbl>
            <c:dLbl>
              <c:idx val="26"/>
              <c:tx>
                <c:strRef>
                  <c:f>'ID106'!$N$40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{3FDB461D-6D47-47EC-8345-5FA65A015F0F}</c15:txfldGUID>
                      <c15:f>'ID106'!$N$40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6EA6-418B-BFD2-90B7E9FC32AB}"/>
                </c:ext>
              </c:extLst>
            </c:dLbl>
            <c:dLbl>
              <c:idx val="27"/>
              <c:tx>
                <c:strRef>
                  <c:f>'ID106'!$N$41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{340F6EA2-521F-415E-BB57-74EEC693AED7}</c15:txfldGUID>
                      <c15:f>'ID106'!$N$41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6EA6-418B-BFD2-90B7E9FC3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'ID106'!$O$14:$O$40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6EA6-418B-BFD2-90B7E9FC32AB}"/>
            </c:ext>
          </c:extLst>
        </c:ser>
        <c:ser>
          <c:idx val="7"/>
          <c:order val="7"/>
          <c:tx>
            <c:strRef>
              <c:f>'ID106'!$J$48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'ID106'!$K$48:$K$49</c:f>
              <c:numCache>
                <c:formatCode>0.0</c:formatCode>
                <c:ptCount val="2"/>
                <c:pt idx="0">
                  <c:v>13.8</c:v>
                </c:pt>
                <c:pt idx="1">
                  <c:v>39.5</c:v>
                </c:pt>
              </c:numCache>
            </c:numRef>
          </c:xVal>
          <c:yVal>
            <c:numRef>
              <c:f>'ID106'!$L$48:$L$49</c:f>
              <c:numCache>
                <c:formatCode>0.000</c:formatCode>
                <c:ptCount val="2"/>
                <c:pt idx="0" formatCode="General">
                  <c:v>0.19615384615384615</c:v>
                </c:pt>
                <c:pt idx="1">
                  <c:v>0.19615384615384615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6EA6-418B-BFD2-90B7E9FC32AB}"/>
            </c:ext>
          </c:extLst>
        </c:ser>
        <c:ser>
          <c:idx val="8"/>
          <c:order val="8"/>
          <c:tx>
            <c:strRef>
              <c:f>'ID106'!$J$51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'ID106'!$K$51:$K$52</c:f>
              <c:numCache>
                <c:formatCode>0.000</c:formatCode>
                <c:ptCount val="2"/>
                <c:pt idx="0">
                  <c:v>24.951851851851849</c:v>
                </c:pt>
                <c:pt idx="1">
                  <c:v>24.951851851851849</c:v>
                </c:pt>
              </c:numCache>
            </c:numRef>
          </c:xVal>
          <c:yVal>
            <c:numRef>
              <c:f>'ID106'!$L$51:$L$52</c:f>
              <c:numCache>
                <c:formatCode>0.0</c:formatCode>
                <c:ptCount val="2"/>
                <c:pt idx="0">
                  <c:v>-6</c:v>
                </c:pt>
                <c:pt idx="1">
                  <c:v>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6EA6-418B-BFD2-90B7E9FC32AB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'ID106'!$K$14:$K$40</c:f>
              <c:numCache>
                <c:formatCode>General</c:formatCode>
                <c:ptCount val="27"/>
                <c:pt idx="0">
                  <c:v>26.1</c:v>
                </c:pt>
                <c:pt idx="1">
                  <c:v>33.6</c:v>
                </c:pt>
                <c:pt idx="2">
                  <c:v>39.5</c:v>
                </c:pt>
                <c:pt idx="3">
                  <c:v>24.7</c:v>
                </c:pt>
                <c:pt idx="4">
                  <c:v>22.2</c:v>
                </c:pt>
                <c:pt idx="5">
                  <c:v>22.6</c:v>
                </c:pt>
                <c:pt idx="6">
                  <c:v>20.399999999999999</c:v>
                </c:pt>
                <c:pt idx="7">
                  <c:v>20.2</c:v>
                </c:pt>
                <c:pt idx="8">
                  <c:v>26</c:v>
                </c:pt>
                <c:pt idx="9">
                  <c:v>13.8</c:v>
                </c:pt>
                <c:pt idx="10">
                  <c:v>19.399999999999999</c:v>
                </c:pt>
                <c:pt idx="11">
                  <c:v>19.899999999999999</c:v>
                </c:pt>
                <c:pt idx="12">
                  <c:v>39.200000000000003</c:v>
                </c:pt>
                <c:pt idx="13">
                  <c:v>29.6</c:v>
                </c:pt>
                <c:pt idx="14">
                  <c:v>36.700000000000003</c:v>
                </c:pt>
                <c:pt idx="15">
                  <c:v>15.9</c:v>
                </c:pt>
                <c:pt idx="16">
                  <c:v>32.4</c:v>
                </c:pt>
                <c:pt idx="17">
                  <c:v>23.7</c:v>
                </c:pt>
                <c:pt idx="18">
                  <c:v>18.5</c:v>
                </c:pt>
                <c:pt idx="19">
                  <c:v>25.8</c:v>
                </c:pt>
                <c:pt idx="20">
                  <c:v>23.8</c:v>
                </c:pt>
                <c:pt idx="21">
                  <c:v>33.9</c:v>
                </c:pt>
                <c:pt idx="22">
                  <c:v>14</c:v>
                </c:pt>
                <c:pt idx="23">
                  <c:v>29.2</c:v>
                </c:pt>
                <c:pt idx="24">
                  <c:v>23.2</c:v>
                </c:pt>
                <c:pt idx="25">
                  <c:v>17.3</c:v>
                </c:pt>
                <c:pt idx="26">
                  <c:v>22.1</c:v>
                </c:pt>
              </c:numCache>
            </c:numRef>
          </c:xVal>
          <c:yVal>
            <c:numRef>
              <c:f>'ID106'!$L$14:$L$40</c:f>
              <c:numCache>
                <c:formatCode>General</c:formatCode>
                <c:ptCount val="27"/>
                <c:pt idx="0">
                  <c:v>2.2999999999999998</c:v>
                </c:pt>
                <c:pt idx="1">
                  <c:v>-1.7</c:v>
                </c:pt>
                <c:pt idx="2">
                  <c:v>10</c:v>
                </c:pt>
                <c:pt idx="3">
                  <c:v>-1</c:v>
                </c:pt>
                <c:pt idx="4">
                  <c:v>-0.5</c:v>
                </c:pt>
                <c:pt idx="5">
                  <c:v>-1.6</c:v>
                </c:pt>
                <c:pt idx="6">
                  <c:v>#N/A</c:v>
                </c:pt>
                <c:pt idx="7">
                  <c:v>-6</c:v>
                </c:pt>
                <c:pt idx="8">
                  <c:v>0.1</c:v>
                </c:pt>
                <c:pt idx="9">
                  <c:v>-0.8</c:v>
                </c:pt>
                <c:pt idx="10">
                  <c:v>0.4</c:v>
                </c:pt>
                <c:pt idx="11">
                  <c:v>-0.9</c:v>
                </c:pt>
                <c:pt idx="12">
                  <c:v>3.2</c:v>
                </c:pt>
                <c:pt idx="13">
                  <c:v>-2.8</c:v>
                </c:pt>
                <c:pt idx="14">
                  <c:v>0.1</c:v>
                </c:pt>
                <c:pt idx="15">
                  <c:v>1.9</c:v>
                </c:pt>
                <c:pt idx="16">
                  <c:v>-2.6</c:v>
                </c:pt>
                <c:pt idx="17">
                  <c:v>15.2</c:v>
                </c:pt>
                <c:pt idx="18">
                  <c:v>-2.2999999999999998</c:v>
                </c:pt>
                <c:pt idx="19">
                  <c:v>-4.3</c:v>
                </c:pt>
                <c:pt idx="20">
                  <c:v>-1.4</c:v>
                </c:pt>
                <c:pt idx="21">
                  <c:v>2.6</c:v>
                </c:pt>
                <c:pt idx="22">
                  <c:v>0.9</c:v>
                </c:pt>
                <c:pt idx="23">
                  <c:v>-2.8</c:v>
                </c:pt>
                <c:pt idx="24">
                  <c:v>-2.5</c:v>
                </c:pt>
                <c:pt idx="25">
                  <c:v>-1.5</c:v>
                </c:pt>
                <c:pt idx="2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6EA6-418B-BFD2-90B7E9FC3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'ID106'!$K$5</c:f>
              <c:strCache>
                <c:ptCount val="1"/>
                <c:pt idx="0">
                  <c:v>Disability employment gap (percentage points, population aged 20-64)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'ID106'!$K$9</c:f>
              <c:strCache>
                <c:ptCount val="1"/>
                <c:pt idx="0">
                  <c:v>Disability employment gap (percentage points, population aged 20-64)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'ID109'!$P$13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{663F77AC-FFBC-4719-AC8A-57133B4B1BDC}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{A1E18B9D-D881-42AD-8618-136FF1998345}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{85293EDD-5CE4-4445-8C42-B09266E9DB46}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{596DAF1F-E02B-4A3A-9153-F89CDC210BE0}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{8EB9ACF6-758F-41D3-A864-2BD9C2D9B1B6}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{4F015726-3787-43A6-87AC-53498B5465FE}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{54EA0160-F3C5-49E1-BDFA-1A9CB26B70E8}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{DE6087B2-9017-4454-9518-8B02E6109563}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{27479795-5CE8-4C20-98D1-2F63B9F50198}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{ED9BBC0D-62FB-4AEE-AEB0-6CC97564172F}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{CA5154AA-AE4F-4C8C-9BEF-662FDE37D08D}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{5D32B35B-4B99-4B1E-ADF4-BDE59B744504}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{44B9AF33-F98F-4AC9-9041-714F50B81081}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{623E5B95-F0BD-4716-84DF-D6348E497143}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{DF45229E-2DCA-413F-A2EC-6D6AA4056614}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{A5D3326D-BF8E-47E5-9CA5-3FCB42A6F35E}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{898350DF-477C-4D06-9690-B93513E1E407}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{75C89380-3FD2-4228-B116-055F59B01C61}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{392E52A2-3F40-4579-9C5C-03D7B817272D}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{204E909D-9030-478A-8172-13167A30E39C}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{CBF177AC-9534-42CA-92D0-2EA49C8CE772}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{A2021DDC-9B6F-4A37-A20D-B4375E889BB4}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{608ED1DB-91A3-4F80-BC34-D56184BA0F4E}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{9BDAF295-5107-44B1-BD77-CF4C289B74EA}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{1F36724A-8B04-4B28-AD60-C398D2D6BC62}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{A2992268-F1CB-4593-A52A-CBFFC4FACB5C}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{3719C661-3833-419D-9DA8-D9CA8CE2565D}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{04448C62-8FFF-464B-87D5-8BCF6857A905}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360-4D3F-8182-D59436730EED}"/>
            </c:ext>
          </c:extLst>
        </c:ser>
        <c:ser>
          <c:idx val="2"/>
          <c:order val="1"/>
          <c:tx>
            <c:strRef>
              <c:f>'ID109'!$Q$13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{0BD2C731-C0C7-48C4-81B8-AD7BE1740554}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{9BACCE2E-F8DB-42A8-AFB2-932C4F7C123B}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{E075F111-7896-48A3-88F0-3C0D97BB29D2}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{11D1B312-D50A-4A0D-895A-9FFC25893AFB}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{C5C02E93-948B-4997-BE21-5191087C926C}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{1C89C89E-EE9A-454E-BA2F-927AE4734880}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{4F0D38CD-C7AF-4E43-A4C2-6025739B6C48}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{28BE5FC5-A546-42BE-A700-B6338C2696D7}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{1170E502-299F-4A8E-B2C9-F88DE6C608BE}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{C2D4DF32-622E-44B4-AB4A-E553462BB7CD}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{7C1871DA-35EB-494B-B4CE-95508D600C02}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{E9172F23-7CF3-460E-A2CF-E8749E1BCEC5}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{05028111-9E6C-4B57-BB3E-03B9CD2F3516}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{EB270DCD-E0B0-46A1-A261-D5F3AA6E5A7F}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{85B4A113-F1EB-4F89-B0CF-62CD52922B49}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{322F98E5-3C33-4199-B1AA-5B418FC13FD0}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{722F244A-B4E5-44D0-8FD4-02617C270E4E}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{85C6F5FC-1A16-4D51-AE9D-0B9540DB4280}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{D66EDF3F-1851-4209-BFFE-1004F0321F1C}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{0C5F177B-DBA1-447B-ADA8-429870EF94A3}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{0ED7CACB-EBBC-4773-A1B9-55D4282F9765}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{8B9A3A99-99FB-42B7-80D9-8F7D0FD6DC2D}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{2B31152C-A13D-4C5C-A989-864C6B61969F}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{B40BDA0D-CF7D-4D0E-92D9-9539BBB32CCE}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{AB29A797-F50A-474E-ADD8-5FE90C309190}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{21283814-857D-4AFE-AE06-5586271D0B67}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{8F278102-C6DD-470A-8CCC-56596BFBF9BD}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{3FDFC2E3-6520-4122-9C1F-D5FC68689DFC}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360-4D3F-8182-D59436730EED}"/>
            </c:ext>
          </c:extLst>
        </c:ser>
        <c:ser>
          <c:idx val="3"/>
          <c:order val="2"/>
          <c:tx>
            <c:strRef>
              <c:f>'ID109'!$R$13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{B17081D4-C1B0-4E3D-A97B-9EB2CC898E59}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{3E6F5BB2-A4E7-4913-9258-55EBF30E369D}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{1BEB2E57-338E-42FC-BBFB-CBDEDB971932}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{E6DE547C-5C12-430F-9289-01CCE2D42A09}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{724E4D6D-9265-46C7-BF39-37A1522670FD}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{4D49042E-3743-44D4-8ADE-975DC1197020}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{9905DF7E-1BFA-4ACD-9D5E-42190272DA40}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{0E285150-C0CF-4629-A738-4E768666F9E2}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{10300250-3F2A-49A3-BF68-EA3203FBC29C}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{806B9671-4DD6-4721-BF35-371A87519959}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{529D35C9-742B-4288-9AEC-0AB935493E10}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{9F9E3056-5565-460A-8D53-544D27D56266}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{D8D255BF-4C2D-491B-A029-10246D92E5EC}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{00A020BA-73DC-4EA4-AE49-2113A2D50A06}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{8215E3B0-0DE9-4158-9C86-5771A2488E74}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{BD26059B-5236-47A2-911F-512FFEFE604C}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{A4DCDCB7-D985-4352-ADA7-0521C22DED27}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{649A196D-569F-4919-98B2-DF5335561235}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{CDB20B87-03A1-4A84-B65E-A96F579ADA70}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{11FD7624-42DA-42F7-BAD9-3CC97B57D4F4}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{0A416425-62AB-46A2-9A12-558B04355CE3}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{E81F170B-8F76-4C5F-AC62-356C01C10B9C}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{0F889F2A-80DB-40A2-AE86-EA528B49B43A}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{F041E2C4-A4FB-4FF5-B0B8-052353AB61A8}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{A86D75B0-4F35-4353-AEAC-D39251B75904}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{9AC11205-E897-4A92-97F2-A0F978FB02D2}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{3936D7A8-62F8-49C4-9356-2CBB1F3C1135}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{FDA9E6D0-1FA8-4E09-80F0-24DF56FC6B3B}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'ID109'!$R$14:$R$40</c:f>
              <c:numCache>
                <c:formatCode>General</c:formatCode>
                <c:ptCount val="27"/>
                <c:pt idx="0">
                  <c:v>-1.4</c:v>
                </c:pt>
                <c:pt idx="1">
                  <c:v>#N/A</c:v>
                </c:pt>
                <c:pt idx="2">
                  <c:v>-4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</c:v>
                </c:pt>
                <c:pt idx="11">
                  <c:v>#N/A</c:v>
                </c:pt>
                <c:pt idx="12">
                  <c:v>0.2</c:v>
                </c:pt>
                <c:pt idx="13">
                  <c:v>#N/A</c:v>
                </c:pt>
                <c:pt idx="14">
                  <c:v>1</c:v>
                </c:pt>
                <c:pt idx="15">
                  <c:v>-0.9</c:v>
                </c:pt>
                <c:pt idx="16">
                  <c:v>1.7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</c:v>
                </c:pt>
                <c:pt idx="22">
                  <c:v>-0.1</c:v>
                </c:pt>
                <c:pt idx="23">
                  <c:v>#N/A</c:v>
                </c:pt>
                <c:pt idx="24">
                  <c:v>#N/A</c:v>
                </c:pt>
                <c:pt idx="25">
                  <c:v>-0.4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360-4D3F-8182-D59436730EED}"/>
            </c:ext>
          </c:extLst>
        </c:ser>
        <c:ser>
          <c:idx val="4"/>
          <c:order val="3"/>
          <c:tx>
            <c:strRef>
              <c:f>'ID109'!$S$13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{7AAB3A6A-58B4-4724-8000-BD1636A160B4}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{6D9E8FA8-1BC9-4629-B8F3-3D977DC241E1}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{6D53F320-ABAC-4487-BDDA-14AD5EE64D3D}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{B7099921-D6AD-484D-95DF-B5084F89AE4E}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{697F7DE6-1110-4599-9117-8D6C5578F907}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{AE3561E5-B3CC-46FA-862B-2A2F28E4F46D}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{C8C33712-57DF-4F02-B1B7-D9B646844F97}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{5257EE7C-148D-4393-8D89-447638DB2032}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{FC7E1840-3955-4E6A-9AFD-904E0569EE80}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{AC029372-44CF-4815-85EB-D3B23B2D5A3D}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{BFA345DE-076D-4FFC-8F30-02402CEB3788}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{456475A3-574E-442C-A589-1D2895B127F3}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{47E300FF-93F0-4770-AEB5-423EFAEE4639}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{41FC76B1-DF8E-431B-BBC9-167E50D05CDF}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{1B58C108-FDE4-4AD6-8B4F-BE955916F6A7}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{B83B9B80-11B8-4969-B21C-960E7E4F5966}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{4E6222A1-B84E-4DA7-8D4B-C6783757D253}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{DF18088F-5715-40BD-9EBF-647C8CF6CB27}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{3CE1132D-994F-4DBE-A3B7-1614EEE0AE74}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{7D73237B-796D-4FA6-BF94-6A05ED125D99}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{282FCC23-0847-4C43-89B3-CB728B5A0627}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{560DEE38-B53A-49C6-A573-0126D039D879}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{394A641B-54F2-46CA-80B9-625A427572AA}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{DB83C853-4E73-43C2-AF28-2FE962581883}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{2D871CF2-B320-4E8C-B536-B2F553DE6B20}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{746A716C-92E8-44E5-8347-459E9A2F68B5}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{A32DA838-ED3B-40B8-9EB4-E42C3DD87865}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{260F54B5-68BF-4152-A927-4CDC8B427C6B}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3.1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360-4D3F-8182-D59436730EED}"/>
            </c:ext>
          </c:extLst>
        </c:ser>
        <c:ser>
          <c:idx val="5"/>
          <c:order val="4"/>
          <c:tx>
            <c:strRef>
              <c:f>'ID109'!$T$13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{597BA740-CFEC-484D-8B3B-2543C072BB1C}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{8862A552-6E25-45A4-99D2-7C88B55F25EA}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{C246D424-638F-4FB5-9659-5C943A76C60F}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{B6F4881A-BC6B-4CA0-8951-9517D646595A}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{AE1AAD47-19CA-4DC8-A9F6-B6A222EFAF0A}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{69CBB663-6645-4836-9D49-BBB28189042E}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{B3DF5E37-5F3F-4A0B-A7D3-348AF9486700}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{5DB8E42C-4D8A-4979-9A57-FA28652A7646}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{ADE20485-D124-4ECF-BCCC-2F4EC9FE4534}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{45244616-3A0C-4E26-AB04-35FE674DD813}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{D385B4F1-DD6F-4E00-8F9B-25D8D2CDA251}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{70DD70E4-4DC4-4857-8B6F-6C5208DAB71E}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{90D8E943-025B-408E-B673-E2FE85CA82CF}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{74723762-7D6E-4501-8621-BBFA4E908C41}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{A1DCB32D-AE84-4C6B-B7F8-02B51796D24E}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{753F56A5-74F7-4929-9C76-3E3F15A5D756}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{563708DB-1DA3-4E73-A722-EFF22AE3D5AD}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{E4469056-3421-40C6-A058-8DD10CA9E999}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{1227536A-F3C9-444D-BCC8-D12D1BACD8E5}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{412BF0A1-499C-4C41-A65D-36C3B2125CA3}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{E04DD1D9-BE5A-424D-8B31-7F292A4B514A}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{A5414F74-C30B-4CB6-87A0-43005A85AED1}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{BE103306-B62F-4719-8CA7-21797096A08B}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{1E84AD0F-BA97-40E9-B56D-BC6CAE2E0041}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{17855EE1-7D88-4B16-BACD-EC71ED9C98EE}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{26864650-FB2B-4845-9A82-9D62071EAA5C}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{37328C3C-40BF-4798-8DD7-9DF099B434C6}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{DD488331-6D36-4546-9D6F-C29E4490B56B}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0.7</c:v>
                </c:pt>
                <c:pt idx="7">
                  <c:v>#N/A</c:v>
                </c:pt>
                <c:pt idx="8">
                  <c:v>1.8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7.5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360-4D3F-8182-D59436730EED}"/>
            </c:ext>
          </c:extLst>
        </c:ser>
        <c:ser>
          <c:idx val="0"/>
          <c:order val="5"/>
          <c:tx>
            <c:strRef>
              <c:f>'ID109'!$U$13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{5B4B6443-C473-4B0B-A711-DB1260E3204A}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{5506E6EE-0147-4A64-BBC4-C5C49A620BF1}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{7B5442A2-FFAC-4506-AC08-B5440F724CF1}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{D4BC6BDB-4D2C-44C9-A7CF-427C38856C76}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{57BAFE8B-82D1-4F41-A04B-C96589C6FD4B}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{8D8D8809-1948-40E5-A111-A7E07A8C7A85}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{7F598B22-3650-4110-A0AB-59FC81B72B3B}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{6DAAC61A-8E5B-4937-A6CE-202016ADDC49}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{A72A1849-1380-47E4-A65A-349E022F50BE}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{F776261D-17E3-4B72-BFA0-77D64BF2C14D}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{492FCF67-F038-4120-B114-C5FCB672B27A}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{2AE12D39-074A-4334-88EB-80EB0E490A78}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{B1C0C36D-E28A-4F88-B05D-34AE802B282E}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{D7FEEB15-EEDF-48D2-8996-578319452273}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{0A684C24-5BAD-424A-BE0D-2AEBDF83761B}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{B4DCDA89-C74B-42C1-8D47-77F536D91627}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{F4A9BB63-91BD-4FD5-AA4D-FA876CF0418B}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{923FA45C-3219-4DB2-8853-3B773ED6D55F}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{5E13C428-C3C4-4DB7-8F62-0FB021C5F271}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{980DA54C-79A9-44E6-9AE4-628A6FEB0D15}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{D04A22E8-02FA-4EF7-9FE1-E8EF59C401DB}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{7D7EC277-1839-4BE3-9A66-5C13F3000F50}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{0667A645-17DC-4086-A13E-B7EBE9E0C1AD}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{B6E6668A-5F24-4938-BFC5-F305B955AD56}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{B86D5E32-9178-4202-A915-EC2FA4615E69}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{639FE4AA-357A-4B8A-98C0-10AE99D2162F}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{71D8E24E-738F-4CC3-82F8-19D244CDE6DC}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{8C8194AC-CF04-4248-BBCF-8E5D23D4E3C0}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2.2000000000000002</c:v>
                </c:pt>
                <c:pt idx="5">
                  <c:v>#N/A</c:v>
                </c:pt>
                <c:pt idx="6">
                  <c:v>#N/A</c:v>
                </c:pt>
                <c:pt idx="7">
                  <c:v>2.7</c:v>
                </c:pt>
                <c:pt idx="8">
                  <c:v>#N/A</c:v>
                </c:pt>
                <c:pt idx="9">
                  <c:v>-1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0.6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1.8</c:v>
                </c:pt>
                <c:pt idx="19">
                  <c:v>#N/A</c:v>
                </c:pt>
                <c:pt idx="20">
                  <c:v>-0.7</c:v>
                </c:pt>
                <c:pt idx="21">
                  <c:v>#N/A</c:v>
                </c:pt>
                <c:pt idx="22">
                  <c:v>#N/A</c:v>
                </c:pt>
                <c:pt idx="23">
                  <c:v>0.6</c:v>
                </c:pt>
                <c:pt idx="24">
                  <c:v>1.8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360-4D3F-8182-D59436730EED}"/>
            </c:ext>
          </c:extLst>
        </c:ser>
        <c:ser>
          <c:idx val="6"/>
          <c:order val="6"/>
          <c:tx>
            <c:strRef>
              <c:f>'ID109'!$V$13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'ID109'!$N$14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{2D77E2C9-E77B-456A-8949-B2E7118E0404}</c15:txfldGUID>
                      <c15:f>'ID109'!$N$14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E360-4D3F-8182-D59436730EED}"/>
                </c:ext>
              </c:extLst>
            </c:dLbl>
            <c:dLbl>
              <c:idx val="1"/>
              <c:tx>
                <c:strRef>
                  <c:f>'ID109'!$N$15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{99776188-C548-49C6-96E1-024F06668984}</c15:txfldGUID>
                      <c15:f>'ID109'!$N$15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E360-4D3F-8182-D59436730EED}"/>
                </c:ext>
              </c:extLst>
            </c:dLbl>
            <c:dLbl>
              <c:idx val="2"/>
              <c:tx>
                <c:strRef>
                  <c:f>'ID109'!$N$16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{54EFB232-5743-40E4-A03B-73DD6EFE012B}</c15:txfldGUID>
                      <c15:f>'ID109'!$N$16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E360-4D3F-8182-D59436730EED}"/>
                </c:ext>
              </c:extLst>
            </c:dLbl>
            <c:dLbl>
              <c:idx val="3"/>
              <c:tx>
                <c:strRef>
                  <c:f>'ID109'!$N$17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{2BEF3B88-7BF2-4D80-B510-1468D31EC3BE}</c15:txfldGUID>
                      <c15:f>'ID109'!$N$17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E360-4D3F-8182-D59436730EED}"/>
                </c:ext>
              </c:extLst>
            </c:dLbl>
            <c:dLbl>
              <c:idx val="4"/>
              <c:tx>
                <c:strRef>
                  <c:f>'ID109'!$N$18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{6937D879-2A9F-4A23-B88E-B357C9BFC80A}</c15:txfldGUID>
                      <c15:f>'ID109'!$N$18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E360-4D3F-8182-D59436730EED}"/>
                </c:ext>
              </c:extLst>
            </c:dLbl>
            <c:dLbl>
              <c:idx val="5"/>
              <c:tx>
                <c:strRef>
                  <c:f>'ID109'!$N$19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{0C54A16A-F79F-4AC5-8119-0E0AD1AFD94B}</c15:txfldGUID>
                      <c15:f>'ID109'!$N$19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E360-4D3F-8182-D59436730EED}"/>
                </c:ext>
              </c:extLst>
            </c:dLbl>
            <c:dLbl>
              <c:idx val="6"/>
              <c:tx>
                <c:strRef>
                  <c:f>'ID109'!$N$20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{4B8496A8-19AE-4715-B061-00B30665ECD7}</c15:txfldGUID>
                      <c15:f>'ID109'!$N$20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E360-4D3F-8182-D59436730EED}"/>
                </c:ext>
              </c:extLst>
            </c:dLbl>
            <c:dLbl>
              <c:idx val="7"/>
              <c:tx>
                <c:strRef>
                  <c:f>'ID109'!$N$21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{AD82040A-B6ED-4507-8EBF-50344C867D00}</c15:txfldGUID>
                      <c15:f>'ID109'!$N$21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E360-4D3F-8182-D59436730EED}"/>
                </c:ext>
              </c:extLst>
            </c:dLbl>
            <c:dLbl>
              <c:idx val="8"/>
              <c:tx>
                <c:strRef>
                  <c:f>'ID109'!$N$22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{6877E0E3-D631-4998-B91B-71F6F7EB03CF}</c15:txfldGUID>
                      <c15:f>'ID109'!$N$22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E360-4D3F-8182-D59436730EED}"/>
                </c:ext>
              </c:extLst>
            </c:dLbl>
            <c:dLbl>
              <c:idx val="9"/>
              <c:tx>
                <c:strRef>
                  <c:f>'ID109'!$N$23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{C8F0623E-5D48-4A54-A41B-4F03C539BFD5}</c15:txfldGUID>
                      <c15:f>'ID109'!$N$23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E360-4D3F-8182-D59436730EED}"/>
                </c:ext>
              </c:extLst>
            </c:dLbl>
            <c:dLbl>
              <c:idx val="10"/>
              <c:tx>
                <c:strRef>
                  <c:f>'ID109'!$N$24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{45F54590-847C-4D5E-89A8-E1608A72FC48}</c15:txfldGUID>
                      <c15:f>'ID109'!$N$24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E360-4D3F-8182-D59436730EED}"/>
                </c:ext>
              </c:extLst>
            </c:dLbl>
            <c:dLbl>
              <c:idx val="11"/>
              <c:tx>
                <c:strRef>
                  <c:f>'ID109'!$N$25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{5A7EBFD0-36D9-4258-BA48-EA83B9FF9502}</c15:txfldGUID>
                      <c15:f>'ID109'!$N$25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E360-4D3F-8182-D59436730EED}"/>
                </c:ext>
              </c:extLst>
            </c:dLbl>
            <c:dLbl>
              <c:idx val="12"/>
              <c:tx>
                <c:strRef>
                  <c:f>'ID109'!$N$26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{9B2E1711-A807-44CA-BF14-D0BDB6739CA2}</c15:txfldGUID>
                      <c15:f>'ID109'!$N$26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E360-4D3F-8182-D59436730EED}"/>
                </c:ext>
              </c:extLst>
            </c:dLbl>
            <c:dLbl>
              <c:idx val="13"/>
              <c:tx>
                <c:strRef>
                  <c:f>'ID109'!$N$27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{6B076A11-0724-4CB3-9C78-146280B1ADC6}</c15:txfldGUID>
                      <c15:f>'ID109'!$N$27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E360-4D3F-8182-D59436730EED}"/>
                </c:ext>
              </c:extLst>
            </c:dLbl>
            <c:dLbl>
              <c:idx val="14"/>
              <c:tx>
                <c:strRef>
                  <c:f>'ID109'!$N$28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{3E76D287-732C-468D-9DB6-D94264923FF4}</c15:txfldGUID>
                      <c15:f>'ID109'!$N$28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E360-4D3F-8182-D59436730EED}"/>
                </c:ext>
              </c:extLst>
            </c:dLbl>
            <c:dLbl>
              <c:idx val="15"/>
              <c:tx>
                <c:strRef>
                  <c:f>'ID109'!$N$29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{3175A431-5B9B-447F-8BCF-D936FB39B8B3}</c15:txfldGUID>
                      <c15:f>'ID109'!$N$29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E360-4D3F-8182-D59436730EED}"/>
                </c:ext>
              </c:extLst>
            </c:dLbl>
            <c:dLbl>
              <c:idx val="16"/>
              <c:tx>
                <c:strRef>
                  <c:f>'ID109'!$N$30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{493406B9-5130-4459-9386-2AD490A60D85}</c15:txfldGUID>
                      <c15:f>'ID109'!$N$30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E360-4D3F-8182-D59436730EED}"/>
                </c:ext>
              </c:extLst>
            </c:dLbl>
            <c:dLbl>
              <c:idx val="17"/>
              <c:tx>
                <c:strRef>
                  <c:f>'ID109'!$N$31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{FFF7849C-D49D-4A81-9C51-CB0B7F4679BE}</c15:txfldGUID>
                      <c15:f>'ID109'!$N$31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E360-4D3F-8182-D59436730EED}"/>
                </c:ext>
              </c:extLst>
            </c:dLbl>
            <c:dLbl>
              <c:idx val="18"/>
              <c:tx>
                <c:strRef>
                  <c:f>'ID109'!$N$32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{74C46777-DE5C-48E9-920A-EB875FB6FFDD}</c15:txfldGUID>
                      <c15:f>'ID109'!$N$32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E360-4D3F-8182-D59436730EED}"/>
                </c:ext>
              </c:extLst>
            </c:dLbl>
            <c:dLbl>
              <c:idx val="19"/>
              <c:tx>
                <c:strRef>
                  <c:f>'ID109'!$N$33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{26DC6C35-D741-4DB0-AE0F-3D15277FA72E}</c15:txfldGUID>
                      <c15:f>'ID109'!$N$33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E360-4D3F-8182-D59436730EED}"/>
                </c:ext>
              </c:extLst>
            </c:dLbl>
            <c:dLbl>
              <c:idx val="20"/>
              <c:tx>
                <c:strRef>
                  <c:f>'ID109'!$N$34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{E4CB2E25-5394-4B4A-B65E-00E0C6C9D94F}</c15:txfldGUID>
                      <c15:f>'ID109'!$N$34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E360-4D3F-8182-D59436730EED}"/>
                </c:ext>
              </c:extLst>
            </c:dLbl>
            <c:dLbl>
              <c:idx val="21"/>
              <c:tx>
                <c:strRef>
                  <c:f>'ID109'!$N$35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{849D8244-6CE4-404D-855C-1B16EB7AFBC9}</c15:txfldGUID>
                      <c15:f>'ID109'!$N$35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E360-4D3F-8182-D59436730EED}"/>
                </c:ext>
              </c:extLst>
            </c:dLbl>
            <c:dLbl>
              <c:idx val="22"/>
              <c:tx>
                <c:strRef>
                  <c:f>'ID109'!$N$36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{C472A0E7-1690-4184-8CD4-D9F896A28A0B}</c15:txfldGUID>
                      <c15:f>'ID109'!$N$36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E360-4D3F-8182-D59436730EED}"/>
                </c:ext>
              </c:extLst>
            </c:dLbl>
            <c:dLbl>
              <c:idx val="23"/>
              <c:tx>
                <c:strRef>
                  <c:f>'ID109'!$N$37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{CA6C69D6-437A-485A-9413-DBBF2ECAA9F7}</c15:txfldGUID>
                      <c15:f>'ID109'!$N$37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E360-4D3F-8182-D59436730EED}"/>
                </c:ext>
              </c:extLst>
            </c:dLbl>
            <c:dLbl>
              <c:idx val="24"/>
              <c:tx>
                <c:strRef>
                  <c:f>'ID109'!$N$38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{542E45BC-9D60-4AE9-B9C1-E02FDBE74634}</c15:txfldGUID>
                      <c15:f>'ID109'!$N$38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E360-4D3F-8182-D59436730EED}"/>
                </c:ext>
              </c:extLst>
            </c:dLbl>
            <c:dLbl>
              <c:idx val="25"/>
              <c:tx>
                <c:strRef>
                  <c:f>'ID109'!$N$39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{B5835FAE-6B04-466C-9CC6-E1B5932B7055}</c15:txfldGUID>
                      <c15:f>'ID109'!$N$39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E360-4D3F-8182-D59436730EED}"/>
                </c:ext>
              </c:extLst>
            </c:dLbl>
            <c:dLbl>
              <c:idx val="26"/>
              <c:tx>
                <c:strRef>
                  <c:f>'ID109'!$N$40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{6F74936B-5E77-46F2-97D9-B9FC93468F08}</c15:txfldGUID>
                      <c15:f>'ID109'!$N$40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E360-4D3F-8182-D59436730EED}"/>
                </c:ext>
              </c:extLst>
            </c:dLbl>
            <c:dLbl>
              <c:idx val="27"/>
              <c:tx>
                <c:strRef>
                  <c:f>'ID109'!$N$41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{563D5370-A7EA-4630-A1D6-9457E4210205}</c15:txfldGUID>
                      <c15:f>'ID109'!$N$41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E360-4D3F-8182-D59436730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'ID109'!$O$14:$O$40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E360-4D3F-8182-D59436730EED}"/>
            </c:ext>
          </c:extLst>
        </c:ser>
        <c:ser>
          <c:idx val="7"/>
          <c:order val="7"/>
          <c:tx>
            <c:strRef>
              <c:f>'ID109'!$J$48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'ID109'!$K$48:$K$49</c:f>
              <c:numCache>
                <c:formatCode>0.0</c:formatCode>
                <c:ptCount val="2"/>
                <c:pt idx="0">
                  <c:v>2.6</c:v>
                </c:pt>
                <c:pt idx="1">
                  <c:v>28.5</c:v>
                </c:pt>
              </c:numCache>
            </c:numRef>
          </c:xVal>
          <c:yVal>
            <c:numRef>
              <c:f>'ID109'!$L$48:$L$49</c:f>
              <c:numCache>
                <c:formatCode>0.000</c:formatCode>
                <c:ptCount val="2"/>
                <c:pt idx="0" formatCode="General">
                  <c:v>0.8222222222222223</c:v>
                </c:pt>
                <c:pt idx="1">
                  <c:v>0.8222222222222223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E360-4D3F-8182-D59436730EED}"/>
            </c:ext>
          </c:extLst>
        </c:ser>
        <c:ser>
          <c:idx val="8"/>
          <c:order val="8"/>
          <c:tx>
            <c:strRef>
              <c:f>'ID109'!$J$51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'ID109'!$K$51:$K$52</c:f>
              <c:numCache>
                <c:formatCode>0.000</c:formatCode>
                <c:ptCount val="2"/>
                <c:pt idx="0">
                  <c:v>8.7074074074074055</c:v>
                </c:pt>
                <c:pt idx="1">
                  <c:v>8.7074074074074055</c:v>
                </c:pt>
              </c:numCache>
            </c:numRef>
          </c:xVal>
          <c:yVal>
            <c:numRef>
              <c:f>'ID109'!$L$51:$L$52</c:f>
              <c:numCache>
                <c:formatCode>0.0</c:formatCode>
                <c:ptCount val="2"/>
                <c:pt idx="0">
                  <c:v>-4</c:v>
                </c:pt>
                <c:pt idx="1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E360-4D3F-8182-D59436730EE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'ID109'!$K$14:$K$40</c:f>
              <c:numCache>
                <c:formatCode>General</c:formatCode>
                <c:ptCount val="27"/>
                <c:pt idx="0">
                  <c:v>6</c:v>
                </c:pt>
                <c:pt idx="1">
                  <c:v>7.7</c:v>
                </c:pt>
                <c:pt idx="2">
                  <c:v>11.1</c:v>
                </c:pt>
                <c:pt idx="3">
                  <c:v>2.6</c:v>
                </c:pt>
                <c:pt idx="4">
                  <c:v>9.1</c:v>
                </c:pt>
                <c:pt idx="5">
                  <c:v>13</c:v>
                </c:pt>
                <c:pt idx="6">
                  <c:v>15.4</c:v>
                </c:pt>
                <c:pt idx="7">
                  <c:v>7.6</c:v>
                </c:pt>
                <c:pt idx="8">
                  <c:v>28.5</c:v>
                </c:pt>
                <c:pt idx="9">
                  <c:v>8.1999999999999993</c:v>
                </c:pt>
                <c:pt idx="10">
                  <c:v>5.5</c:v>
                </c:pt>
                <c:pt idx="11">
                  <c:v>6.5</c:v>
                </c:pt>
                <c:pt idx="12">
                  <c:v>4</c:v>
                </c:pt>
                <c:pt idx="13">
                  <c:v>8.6999999999999993</c:v>
                </c:pt>
                <c:pt idx="14">
                  <c:v>4.7</c:v>
                </c:pt>
                <c:pt idx="15">
                  <c:v>5.7</c:v>
                </c:pt>
                <c:pt idx="16">
                  <c:v>5.2</c:v>
                </c:pt>
                <c:pt idx="17">
                  <c:v>22.7</c:v>
                </c:pt>
                <c:pt idx="18">
                  <c:v>7.2</c:v>
                </c:pt>
                <c:pt idx="19">
                  <c:v>6</c:v>
                </c:pt>
                <c:pt idx="20">
                  <c:v>9.3000000000000007</c:v>
                </c:pt>
                <c:pt idx="21">
                  <c:v>5.9</c:v>
                </c:pt>
                <c:pt idx="22">
                  <c:v>4.9000000000000004</c:v>
                </c:pt>
                <c:pt idx="23">
                  <c:v>9.1</c:v>
                </c:pt>
                <c:pt idx="24">
                  <c:v>10.9</c:v>
                </c:pt>
                <c:pt idx="25">
                  <c:v>3.7</c:v>
                </c:pt>
                <c:pt idx="26">
                  <c:v>5.9</c:v>
                </c:pt>
              </c:numCache>
            </c:numRef>
          </c:xVal>
          <c:yVal>
            <c:numRef>
              <c:f>'ID109'!$L$14:$L$40</c:f>
              <c:numCache>
                <c:formatCode>General</c:formatCode>
                <c:ptCount val="27"/>
                <c:pt idx="0">
                  <c:v>-1.4</c:v>
                </c:pt>
                <c:pt idx="1">
                  <c:v>0</c:v>
                </c:pt>
                <c:pt idx="2">
                  <c:v>-4</c:v>
                </c:pt>
                <c:pt idx="3">
                  <c:v>0.1</c:v>
                </c:pt>
                <c:pt idx="4">
                  <c:v>2.2000000000000002</c:v>
                </c:pt>
                <c:pt idx="5">
                  <c:v>1.1000000000000001</c:v>
                </c:pt>
                <c:pt idx="6">
                  <c:v>0.7</c:v>
                </c:pt>
                <c:pt idx="7">
                  <c:v>2.7</c:v>
                </c:pt>
                <c:pt idx="8">
                  <c:v>1.8</c:v>
                </c:pt>
                <c:pt idx="9">
                  <c:v>-1</c:v>
                </c:pt>
                <c:pt idx="10">
                  <c:v>0.1</c:v>
                </c:pt>
                <c:pt idx="11">
                  <c:v>0</c:v>
                </c:pt>
                <c:pt idx="12">
                  <c:v>0.2</c:v>
                </c:pt>
                <c:pt idx="13">
                  <c:v>0.6</c:v>
                </c:pt>
                <c:pt idx="14">
                  <c:v>1</c:v>
                </c:pt>
                <c:pt idx="15">
                  <c:v>-0.9</c:v>
                </c:pt>
                <c:pt idx="16">
                  <c:v>1.7</c:v>
                </c:pt>
                <c:pt idx="17">
                  <c:v>7.5</c:v>
                </c:pt>
                <c:pt idx="18">
                  <c:v>1.8</c:v>
                </c:pt>
                <c:pt idx="19">
                  <c:v>3.1</c:v>
                </c:pt>
                <c:pt idx="20">
                  <c:v>-0.7</c:v>
                </c:pt>
                <c:pt idx="21">
                  <c:v>0.3</c:v>
                </c:pt>
                <c:pt idx="22">
                  <c:v>-0.1</c:v>
                </c:pt>
                <c:pt idx="23">
                  <c:v>0.6</c:v>
                </c:pt>
                <c:pt idx="24">
                  <c:v>1.8</c:v>
                </c:pt>
                <c:pt idx="25">
                  <c:v>-0.4</c:v>
                </c:pt>
                <c:pt idx="26">
                  <c:v>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E360-4D3F-8182-D59436730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'ID109'!$K$5</c:f>
              <c:strCache>
                <c:ptCount val="1"/>
                <c:pt idx="0">
                  <c:v>Housing cost overburden (% of total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'ID109'!$K$9</c:f>
              <c:strCache>
                <c:ptCount val="1"/>
                <c:pt idx="0">
                  <c:v>Housing cost overburden (% of total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'ID113'!$P$13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{46FD7BC6-4722-41A3-810D-4584ED913DD9}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{51F3497B-B945-4990-8383-5A4307ABE2AB}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{8CF5E03E-2023-4A81-BC2F-BC12703A12C4}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{DC5B05AA-AAF3-4C4B-B382-F4F73B935D51}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{AAD566CF-43A2-4E8E-8188-0EA93EB1E9FA}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{D05720ED-6F5B-4FA9-B61A-B8D595DB10F3}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{A4412295-5F8F-4466-91F1-D06551DABA36}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{FF103601-236E-4613-B3A5-DF0A2E10E7A8}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{98BA4DE5-613D-4D44-875F-861D5C926F5F}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{FA7C5D3E-6E09-406A-A04F-3875F2833A76}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{52DBB6B3-777C-458D-B68D-11F8BDAB1B08}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{E6289466-1ECE-4038-8354-B26AB04996F5}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{91A6160E-98DD-45ED-9D08-34A232962B31}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{EAB07381-1308-439E-BE83-52DD70BEF6F0}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{A4BF4B78-83C8-4D12-BAD0-1C493707E466}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{3C44FC07-1826-4995-A6B5-DBD6298BA888}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{A7BB7EAF-C3D7-4324-939C-507D4F2389CD}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{8B245816-95CD-4080-BC0C-7B7B284121EC}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{626776F0-71C5-42A0-BD75-4E095FF16F5C}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{77455C76-BA2B-4ED2-A087-2749AF9797DB}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{4BAD04B7-8131-4460-A6A6-943389F4B038}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{82E04249-EA44-4DEE-8FDB-BB03ABA7F9DF}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{FBED4A54-D56F-490E-8B2E-E99F42B53CD9}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{43AD0D57-017D-4DF7-9539-728DAA55A345}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{5AA43990-A547-467F-A068-884F56A1F96A}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{FCBFFB5F-21E6-4441-B6C7-2A93D5722561}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{7E3FCDF8-5F36-4956-8F34-4451F515544A}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{A89909BE-A410-4319-A319-59EF80B5EC4A}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-4.8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DD-49CD-903E-74BDC24757A4}"/>
            </c:ext>
          </c:extLst>
        </c:ser>
        <c:ser>
          <c:idx val="2"/>
          <c:order val="1"/>
          <c:tx>
            <c:strRef>
              <c:f>'ID113'!$Q$13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{E86A8056-524E-462E-974F-4DEC5634EF48}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{0327D580-12CF-4ACE-9CE8-A92A0E6A568C}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{F68F9FA1-E73E-4D1A-A321-9AA9B3808976}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{9A183BEE-A733-4AC0-B339-856391F4AEED}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{3592DFD9-7A56-45DA-ABBE-A5860EA08D25}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{35B274F8-4106-48FA-94F9-2C161D502A0C}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{ECA9AF73-6357-4656-A76B-86191A8D49F0}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{C631167C-12BB-4D1C-A4AF-B0CDDDEAD920}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{2DF30D77-1DEB-4643-A948-AACB162DB9D3}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{D5C47897-0289-4833-A7E7-5D12E6F54AF2}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{7657F108-A3A4-48B5-9036-29CACC8C4D83}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{3852C2AE-3E9F-4A04-9C36-DDC77A61BD5F}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{1C186A75-366D-4CE3-B6AF-77894AD9A2BB}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{F26E2478-2ADD-4D29-899E-959F70277AEA}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{384B7AF5-FA51-464F-915A-A72DC78126AB}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{BCAFBAA6-7CD3-4D65-A008-5E6A26ABCC0E}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{DC873316-BF4D-4B3A-8DAE-3F331889FF94}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{47DA14C9-4B27-48BE-9BB4-4329C0C58692}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{9649EEBC-C1F6-493C-B625-E3D731419F71}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{C7BFACC3-8C31-4328-A6F1-24B15CDB6605}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{83B96649-2651-47C0-B52F-6CDC9913FB9D}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{71F476B6-E2B3-4DF6-8FCE-DE84E09985D7}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{40DFF0AD-554A-4677-AF7D-F334524EFF77}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{FA1C8BFE-E516-4408-A40F-97956BE05E77}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{61641136-BEE8-4433-A942-C21652C04952}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{C48855F0-5E6F-4F2F-8300-67EA1D1542B6}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{E7723C25-4255-4E8E-B0B7-5E5664BABED5}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{6E49E63B-E648-4D1D-AFA8-B7EA6FF84FC2}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5.3</c:v>
                </c:pt>
                <c:pt idx="18">
                  <c:v>#N/A</c:v>
                </c:pt>
                <c:pt idx="19">
                  <c:v>#N/A</c:v>
                </c:pt>
                <c:pt idx="20">
                  <c:v>-0.8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2.5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24DD-49CD-903E-74BDC24757A4}"/>
            </c:ext>
          </c:extLst>
        </c:ser>
        <c:ser>
          <c:idx val="3"/>
          <c:order val="2"/>
          <c:tx>
            <c:strRef>
              <c:f>'ID113'!$R$13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{8EEC3395-D736-4B2F-A05C-E6A25C8121D2}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{3C65196D-6E94-456A-978A-F6F1C1F022F6}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{D50BB5CF-9D51-4E0A-B6AA-DF1681D4AA91}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{8E23D258-F56C-4276-B222-868F4D0F25EF}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{E6FCDA62-B7B1-488A-8E31-6E46953BD2FD}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{A0A5222E-6B60-4004-8D1D-0E3C77FD743E}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{73612A67-BB57-4259-A1C7-6038405E5ECD}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{B3168916-A344-407D-AEAD-A5A3305DA6BD}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{FE3A4B76-6499-4CF7-852E-AB7ED9829B69}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{DEF2F923-4CC7-4596-9808-C8AE8BA571D8}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{1E0D151B-8DA8-44E0-B80F-57C47B5D02BD}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{333D05A8-DA13-4FA4-85EC-3619A51EF0EE}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{B4C2349D-F549-4601-B8AB-E891157F2698}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{26D55377-6010-43A1-8C12-317E93DFB157}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{F038D850-7881-4378-89BD-D5DAB2F32114}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{D884C45E-EDB5-4C3D-B6C1-4F7AC939B1EF}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{5D0A5ECD-ADC5-4492-905C-B3E50A085935}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{283E40AD-ECF3-47E7-8181-B014A539A0B6}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{DF162EBA-BB11-4A56-A526-20DD8E584732}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{DC2E91CC-2438-4732-8D23-7CABB5EF6A6C}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{EF19DCDC-52BC-4A5C-8558-615F6465BB06}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{196EE00A-BF0A-4C9C-91E4-4BEDAA1A7469}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{2EEDC08E-DAEA-418F-8976-4DCC6A50F1F5}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{3186D71E-560A-4609-89A3-DA2824EB99B7}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{C29CFAB6-3C0D-4E36-BA3D-3AF08439465C}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{38D067DD-A5E9-45FF-92FA-094ECCAE6395}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{F698C83D-DD07-4DF1-B2F6-62424DE51223}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{F1C16317-F7A8-48C2-91D0-A90688A67483}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'ID113'!$R$14:$R$40</c:f>
              <c:numCache>
                <c:formatCode>General</c:formatCode>
                <c:ptCount val="27"/>
                <c:pt idx="0">
                  <c:v>#N/A</c:v>
                </c:pt>
                <c:pt idx="1">
                  <c:v>3.6</c:v>
                </c:pt>
                <c:pt idx="2">
                  <c:v>#N/A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7.2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7.9</c:v>
                </c:pt>
                <c:pt idx="20">
                  <c:v>#N/A</c:v>
                </c:pt>
                <c:pt idx="21">
                  <c:v>#N/A</c:v>
                </c:pt>
                <c:pt idx="22">
                  <c:v>8.3000000000000007</c:v>
                </c:pt>
                <c:pt idx="23">
                  <c:v>#N/A</c:v>
                </c:pt>
                <c:pt idx="24">
                  <c:v>#N/A</c:v>
                </c:pt>
                <c:pt idx="25">
                  <c:v>4.3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24DD-49CD-903E-74BDC24757A4}"/>
            </c:ext>
          </c:extLst>
        </c:ser>
        <c:ser>
          <c:idx val="4"/>
          <c:order val="3"/>
          <c:tx>
            <c:strRef>
              <c:f>'ID113'!$S$13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{98046DF7-47FA-4E88-98F7-07EF2FB3B970}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{7A2F3706-0813-4D26-B55F-1A65733B6A75}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{9F5DA2C7-01B4-4674-8CD4-786241E2972C}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{60C3E0F4-7D98-45A5-A8B0-FF774A5891F4}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{8125CA28-0386-48F0-89DE-BC6494AF335A}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{F5D4C1B8-9980-4E91-880A-C06CABD906D6}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{AB3B4D85-9C76-4201-929C-6D28F2B2A3DF}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{BD85E899-93DC-4A74-A5C9-8E1A13C20166}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{4545033B-8C56-4740-A030-1FD957751A7A}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{61160C54-C8E9-4B8D-965E-F8D6B46398BC}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{62626BCF-146B-4DF9-BDC6-6B5955CC7C1B}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{5EA9D114-2C20-43BD-9323-8B74404E20B0}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{6506F855-87A3-42E2-82E5-56CF767B9B9C}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{79D538FB-B69A-4843-BE46-19082C42A677}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{B49E3514-75AD-4B65-AF0C-6584631FF65B}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{03CA4AAB-ECE9-420C-9703-41E881AC0D81}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{D1C57F33-E17E-4638-A64C-65C87915E5EE}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{ED0430C0-22A7-4ACC-8513-02B13DB7C8AC}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{578F84E7-5DD3-4658-A63F-954436626386}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{09FC6432-1FE2-40A4-B6AC-0146D1B18E16}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{F40E52FB-FA05-4E31-9585-98575A72CB12}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{26697B74-299B-44D5-8869-84C5D89D8848}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{A7335088-768B-4748-A387-2BBD013D754B}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{21771F15-24F4-4890-B9E7-223172CCA776}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{63E6AD6F-B829-4422-A4D3-F36DBC1D56FE}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{27EDA6DC-9A0C-4588-9B4F-D93AD729C323}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{67CEFBE4-FC77-4D0C-9954-2EDFFF94A85E}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{6F6B81BB-E19F-41BF-85D9-F7C5D29F14E2}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'ID113'!$S$14:$S$40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-1.3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3.8</c:v>
                </c:pt>
                <c:pt idx="15">
                  <c:v>#N/A</c:v>
                </c:pt>
                <c:pt idx="16">
                  <c:v>-2.9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24DD-49CD-903E-74BDC24757A4}"/>
            </c:ext>
          </c:extLst>
        </c:ser>
        <c:ser>
          <c:idx val="5"/>
          <c:order val="4"/>
          <c:tx>
            <c:strRef>
              <c:f>'ID113'!$T$13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{329B4717-B056-4867-ADF5-65925F5704CE}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{9F6168FB-8743-4B8A-93A3-EFE98A5DB88C}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{15B98416-2414-4197-B915-92C800C6976B}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{B445B0E3-4480-4CCB-9188-7489B0244C84}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{02C791D1-594D-43BE-9573-53AA04FDEF8E}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{CC32E2BE-DC5D-4D15-9868-623D01EC7379}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{E3414379-2B2D-4652-BBB8-5B1392337611}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{9213B9E9-FED6-4B09-A074-3915FD5FEA5E}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{5ACAF178-4D07-494A-A66B-72177B4F0E88}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{7EA4D4A7-6A3F-428F-BC96-D4CEF8D9E563}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{516BAFDC-CE47-4438-8DC8-AEB74C6237E1}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{76CE1CCA-963E-4935-BCC1-BCFED3AE4EB5}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{65CA7719-E4B7-46B3-BB05-4CCFBC8CE6C1}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{A8A17812-926C-4D68-B964-DE0812F0A653}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{1A91AB1D-D9EF-412E-975C-B94C6310C26E}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{6DB5E911-13C0-4799-8F16-7D02BD934DA9}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{2E992610-DDCC-409E-8075-A7F6F4E3B623}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{B14FE403-C37F-4022-AEAB-A1B6855C7CC0}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{0823F065-D45D-4731-AB26-02FADD4F287A}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{AC6256EB-37EF-4094-BD9B-7EABC090A33C}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{6051A143-6BE1-475F-952E-6982AAB0BA1A}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{88857E9F-A153-4D8F-B8FF-11B48F70D06D}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{9BEE0778-0489-4EB1-BB0E-4E523ABCE1B6}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{55311FD6-87D8-49EB-8532-33DD550E9D9F}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{A34814FC-04E4-4D12-B6FF-45ED786128B2}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{3089F279-491C-49B5-A43A-DBFFF54B3F7D}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{8B83A143-2D1A-4E46-B0E1-B2A05E7B5555}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{E2B6E838-F542-4C59-8834-6A2C7CB8DF8D}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-2.4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-3.3</c:v>
                </c:pt>
                <c:pt idx="22">
                  <c:v>#N/A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4DD-49CD-903E-74BDC24757A4}"/>
            </c:ext>
          </c:extLst>
        </c:ser>
        <c:ser>
          <c:idx val="0"/>
          <c:order val="5"/>
          <c:tx>
            <c:strRef>
              <c:f>'ID113'!$U$13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{4F1D7A53-D4F2-4392-837D-7BAEE1550EBB}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{9FABA615-4B21-4916-8571-2ABA88BAC738}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{3CBA8677-AB30-4F9D-98E7-8C246E637748}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{7D5545A6-36D6-4464-B093-919FB2A19BE8}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{60B799A4-9F0E-4D6B-A9A5-209956573515}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{51D1AB91-58E6-44A1-94E5-DBD228C60601}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{9A618C79-8476-4114-B64E-93E2EF132BDD}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{F0339AC6-D51B-4950-A288-36EBAFCD32A9}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{FDE38CC8-A6ED-4963-9F4F-746CBE0E73ED}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{13F997D3-D6F6-43BA-8D32-C93F1F7B0827}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{934163F6-0C18-4AD8-B296-24DCEA993356}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{924B5118-8CC8-421A-8FA4-746F3C0FAD66}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{E1701356-65F1-4C95-A6EF-233B371E7B1D}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{4659A39B-3714-4FF4-BA46-BF4056305745}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{9CBAB9C1-B201-4F23-914E-DE48B7A7F0D7}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{36F7A172-A4F2-4B96-9051-F50F1DD41B9F}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{9AB9B9C9-E989-47B5-B752-EC605B1CCD2B}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{E27C62EC-B57C-43A2-AB1D-CE6B636937C5}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{D7020C6B-79C1-42EE-8A5B-149F508D1FAB}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{35A9763F-5693-402A-AC4D-A171E4CE7F43}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{861F05D3-FB2A-49B3-BCE3-56399CCF573E}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{7E11DFA7-1A74-4870-A687-A928AC1D0FC3}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{1F22033A-17DF-42EC-B95B-6CD5184C91F9}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{4DD204C1-E4BF-4F96-949C-D66CF7667344}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{A49D1728-8DF2-41A0-A874-537D4A11856A}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{DF377853-C9F3-4060-9307-B72DE2B88C9A}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{35D1DED4-EFB6-42C1-BC69-8A7E2654115F}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{BDE5EEEA-44E2-4CF8-B766-4EF2EAE2E11C}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4.2</c:v>
                </c:pt>
                <c:pt idx="8">
                  <c:v>0.5</c:v>
                </c:pt>
                <c:pt idx="9">
                  <c:v>#N/A</c:v>
                </c:pt>
                <c:pt idx="10">
                  <c:v>3.9</c:v>
                </c:pt>
                <c:pt idx="11">
                  <c:v>#N/A</c:v>
                </c:pt>
                <c:pt idx="12">
                  <c:v>2.1</c:v>
                </c:pt>
                <c:pt idx="13">
                  <c:v>#N/A</c:v>
                </c:pt>
                <c:pt idx="14">
                  <c:v>#N/A</c:v>
                </c:pt>
                <c:pt idx="15">
                  <c:v>3.6</c:v>
                </c:pt>
                <c:pt idx="16">
                  <c:v>#N/A</c:v>
                </c:pt>
                <c:pt idx="17">
                  <c:v>#N/A</c:v>
                </c:pt>
                <c:pt idx="18">
                  <c:v>2.2000000000000002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24DD-49CD-903E-74BDC24757A4}"/>
            </c:ext>
          </c:extLst>
        </c:ser>
        <c:ser>
          <c:idx val="6"/>
          <c:order val="6"/>
          <c:tx>
            <c:strRef>
              <c:f>'ID113'!$V$13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'ID113'!$N$14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{17DE3DBD-1423-4A42-8402-744247877731}</c15:txfldGUID>
                      <c15:f>'ID113'!$N$14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24DD-49CD-903E-74BDC24757A4}"/>
                </c:ext>
              </c:extLst>
            </c:dLbl>
            <c:dLbl>
              <c:idx val="1"/>
              <c:tx>
                <c:strRef>
                  <c:f>'ID113'!$N$15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{5DC3807F-2671-4EDE-9615-8EC77D65A9E7}</c15:txfldGUID>
                      <c15:f>'ID113'!$N$15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24DD-49CD-903E-74BDC24757A4}"/>
                </c:ext>
              </c:extLst>
            </c:dLbl>
            <c:dLbl>
              <c:idx val="2"/>
              <c:tx>
                <c:strRef>
                  <c:f>'ID113'!$N$16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{4FF13696-A8B7-4E49-9205-CD40880F3027}</c15:txfldGUID>
                      <c15:f>'ID113'!$N$16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24DD-49CD-903E-74BDC24757A4}"/>
                </c:ext>
              </c:extLst>
            </c:dLbl>
            <c:dLbl>
              <c:idx val="3"/>
              <c:tx>
                <c:strRef>
                  <c:f>'ID113'!$N$17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{4F167FB1-4463-45E7-8580-BC82781914BB}</c15:txfldGUID>
                      <c15:f>'ID113'!$N$17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24DD-49CD-903E-74BDC24757A4}"/>
                </c:ext>
              </c:extLst>
            </c:dLbl>
            <c:dLbl>
              <c:idx val="4"/>
              <c:tx>
                <c:strRef>
                  <c:f>'ID113'!$N$18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{A5BC80E1-801E-42D4-8231-6F798A7EB892}</c15:txfldGUID>
                      <c15:f>'ID113'!$N$18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24DD-49CD-903E-74BDC24757A4}"/>
                </c:ext>
              </c:extLst>
            </c:dLbl>
            <c:dLbl>
              <c:idx val="5"/>
              <c:tx>
                <c:strRef>
                  <c:f>'ID113'!$N$19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{0C94A99F-6A3B-46F4-91C8-7E06C5B02D38}</c15:txfldGUID>
                      <c15:f>'ID113'!$N$19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24DD-49CD-903E-74BDC24757A4}"/>
                </c:ext>
              </c:extLst>
            </c:dLbl>
            <c:dLbl>
              <c:idx val="6"/>
              <c:tx>
                <c:strRef>
                  <c:f>'ID113'!$N$20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{A1EE09C7-5047-453A-BB00-DB8BBDF2B712}</c15:txfldGUID>
                      <c15:f>'ID113'!$N$20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24DD-49CD-903E-74BDC24757A4}"/>
                </c:ext>
              </c:extLst>
            </c:dLbl>
            <c:dLbl>
              <c:idx val="7"/>
              <c:tx>
                <c:strRef>
                  <c:f>'ID113'!$N$21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{5417061A-E15B-4E99-8C14-43ED4CE3394E}</c15:txfldGUID>
                      <c15:f>'ID113'!$N$21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24DD-49CD-903E-74BDC24757A4}"/>
                </c:ext>
              </c:extLst>
            </c:dLbl>
            <c:dLbl>
              <c:idx val="8"/>
              <c:tx>
                <c:strRef>
                  <c:f>'ID113'!$N$22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{AFE235E2-9E04-48F1-A7FE-406E5DE699CB}</c15:txfldGUID>
                      <c15:f>'ID113'!$N$22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24DD-49CD-903E-74BDC24757A4}"/>
                </c:ext>
              </c:extLst>
            </c:dLbl>
            <c:dLbl>
              <c:idx val="9"/>
              <c:tx>
                <c:strRef>
                  <c:f>'ID113'!$N$23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{23FFD6EF-0606-4D4C-BBB2-FD0A0C6EE2A4}</c15:txfldGUID>
                      <c15:f>'ID113'!$N$23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24DD-49CD-903E-74BDC24757A4}"/>
                </c:ext>
              </c:extLst>
            </c:dLbl>
            <c:dLbl>
              <c:idx val="10"/>
              <c:tx>
                <c:strRef>
                  <c:f>'ID113'!$N$24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{AD3F0493-A8CF-4B3E-A143-A6C632C484EE}</c15:txfldGUID>
                      <c15:f>'ID113'!$N$24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24DD-49CD-903E-74BDC24757A4}"/>
                </c:ext>
              </c:extLst>
            </c:dLbl>
            <c:dLbl>
              <c:idx val="11"/>
              <c:tx>
                <c:strRef>
                  <c:f>'ID113'!$N$25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{957ABE68-8D5F-4E4D-BEE6-BA456C17438B}</c15:txfldGUID>
                      <c15:f>'ID113'!$N$25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24DD-49CD-903E-74BDC24757A4}"/>
                </c:ext>
              </c:extLst>
            </c:dLbl>
            <c:dLbl>
              <c:idx val="12"/>
              <c:tx>
                <c:strRef>
                  <c:f>'ID113'!$N$26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{C6FE52AD-A2DF-44C4-A4F0-9505BECF80F0}</c15:txfldGUID>
                      <c15:f>'ID113'!$N$26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24DD-49CD-903E-74BDC24757A4}"/>
                </c:ext>
              </c:extLst>
            </c:dLbl>
            <c:dLbl>
              <c:idx val="13"/>
              <c:tx>
                <c:strRef>
                  <c:f>'ID113'!$N$27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{6368D09B-AD5A-4F20-804B-AE0A7030382B}</c15:txfldGUID>
                      <c15:f>'ID113'!$N$27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24DD-49CD-903E-74BDC24757A4}"/>
                </c:ext>
              </c:extLst>
            </c:dLbl>
            <c:dLbl>
              <c:idx val="14"/>
              <c:tx>
                <c:strRef>
                  <c:f>'ID113'!$N$28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{8745AF2E-6F41-4D91-8778-4C125DE2D41C}</c15:txfldGUID>
                      <c15:f>'ID113'!$N$28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24DD-49CD-903E-74BDC24757A4}"/>
                </c:ext>
              </c:extLst>
            </c:dLbl>
            <c:dLbl>
              <c:idx val="15"/>
              <c:tx>
                <c:strRef>
                  <c:f>'ID113'!$N$29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{D9774617-1A60-4A62-B380-A1A8D9B843F2}</c15:txfldGUID>
                      <c15:f>'ID113'!$N$29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24DD-49CD-903E-74BDC24757A4}"/>
                </c:ext>
              </c:extLst>
            </c:dLbl>
            <c:dLbl>
              <c:idx val="16"/>
              <c:tx>
                <c:strRef>
                  <c:f>'ID113'!$N$30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{AF420892-4538-4AF0-A6E6-3E25E295C526}</c15:txfldGUID>
                      <c15:f>'ID113'!$N$30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24DD-49CD-903E-74BDC24757A4}"/>
                </c:ext>
              </c:extLst>
            </c:dLbl>
            <c:dLbl>
              <c:idx val="17"/>
              <c:tx>
                <c:strRef>
                  <c:f>'ID113'!$N$31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{12BB7A09-4627-4073-95AC-6D0756E3B58F}</c15:txfldGUID>
                      <c15:f>'ID113'!$N$31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24DD-49CD-903E-74BDC24757A4}"/>
                </c:ext>
              </c:extLst>
            </c:dLbl>
            <c:dLbl>
              <c:idx val="18"/>
              <c:tx>
                <c:strRef>
                  <c:f>'ID113'!$N$32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{876E0C83-223A-497B-9435-145F2D6CD425}</c15:txfldGUID>
                      <c15:f>'ID113'!$N$32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24DD-49CD-903E-74BDC24757A4}"/>
                </c:ext>
              </c:extLst>
            </c:dLbl>
            <c:dLbl>
              <c:idx val="19"/>
              <c:tx>
                <c:strRef>
                  <c:f>'ID113'!$N$33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{464A8287-0AC0-4D11-8CE2-2C4BDC91CE36}</c15:txfldGUID>
                      <c15:f>'ID113'!$N$33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24DD-49CD-903E-74BDC24757A4}"/>
                </c:ext>
              </c:extLst>
            </c:dLbl>
            <c:dLbl>
              <c:idx val="20"/>
              <c:tx>
                <c:strRef>
                  <c:f>'ID113'!$N$34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{607569CF-8E61-4E25-8F64-8580714B671A}</c15:txfldGUID>
                      <c15:f>'ID113'!$N$34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24DD-49CD-903E-74BDC24757A4}"/>
                </c:ext>
              </c:extLst>
            </c:dLbl>
            <c:dLbl>
              <c:idx val="21"/>
              <c:tx>
                <c:strRef>
                  <c:f>'ID113'!$N$35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{FCB4509A-53F0-454F-A193-DF8616D8E68B}</c15:txfldGUID>
                      <c15:f>'ID113'!$N$35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24DD-49CD-903E-74BDC24757A4}"/>
                </c:ext>
              </c:extLst>
            </c:dLbl>
            <c:dLbl>
              <c:idx val="22"/>
              <c:tx>
                <c:strRef>
                  <c:f>'ID113'!$N$36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{F0D4E59C-F4C9-4314-9806-323B12CBA4B3}</c15:txfldGUID>
                      <c15:f>'ID113'!$N$36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24DD-49CD-903E-74BDC24757A4}"/>
                </c:ext>
              </c:extLst>
            </c:dLbl>
            <c:dLbl>
              <c:idx val="23"/>
              <c:tx>
                <c:strRef>
                  <c:f>'ID113'!$N$37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{C1451CB0-B248-4C81-BD3D-844C5AD652DA}</c15:txfldGUID>
                      <c15:f>'ID113'!$N$37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24DD-49CD-903E-74BDC24757A4}"/>
                </c:ext>
              </c:extLst>
            </c:dLbl>
            <c:dLbl>
              <c:idx val="24"/>
              <c:tx>
                <c:strRef>
                  <c:f>'ID113'!$N$38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{61558D03-BC09-42AE-AF4F-3A93A251F252}</c15:txfldGUID>
                      <c15:f>'ID113'!$N$38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24DD-49CD-903E-74BDC24757A4}"/>
                </c:ext>
              </c:extLst>
            </c:dLbl>
            <c:dLbl>
              <c:idx val="25"/>
              <c:tx>
                <c:strRef>
                  <c:f>'ID113'!$N$39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{F4306179-A99C-4997-B5E3-C5A0EF5406E9}</c15:txfldGUID>
                      <c15:f>'ID113'!$N$39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24DD-49CD-903E-74BDC24757A4}"/>
                </c:ext>
              </c:extLst>
            </c:dLbl>
            <c:dLbl>
              <c:idx val="26"/>
              <c:tx>
                <c:strRef>
                  <c:f>'ID113'!$N$40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{A2A2A903-C1EC-4A0F-95AA-B86E06CFC654}</c15:txfldGUID>
                      <c15:f>'ID113'!$N$40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24DD-49CD-903E-74BDC24757A4}"/>
                </c:ext>
              </c:extLst>
            </c:dLbl>
            <c:dLbl>
              <c:idx val="27"/>
              <c:tx>
                <c:strRef>
                  <c:f>'ID113'!$N$41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{EAC17AC0-C14B-4B0D-B112-949DD12C5EC8}</c15:txfldGUID>
                      <c15:f>'ID113'!$N$41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24DD-49CD-903E-74BDC2475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'ID113'!$O$14:$O$40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24DD-49CD-903E-74BDC24757A4}"/>
            </c:ext>
          </c:extLst>
        </c:ser>
        <c:ser>
          <c:idx val="7"/>
          <c:order val="7"/>
          <c:tx>
            <c:strRef>
              <c:f>'ID113'!$J$48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'ID113'!$K$48:$K$49</c:f>
              <c:numCache>
                <c:formatCode>0.0</c:formatCode>
                <c:ptCount val="2"/>
                <c:pt idx="0">
                  <c:v>1</c:v>
                </c:pt>
                <c:pt idx="1">
                  <c:v>71.5</c:v>
                </c:pt>
              </c:numCache>
            </c:numRef>
          </c:xVal>
          <c:yVal>
            <c:numRef>
              <c:f>'ID113'!$L$48:$L$49</c:f>
              <c:numCache>
                <c:formatCode>0.000</c:formatCode>
                <c:ptCount val="2"/>
                <c:pt idx="0" formatCode="General">
                  <c:v>2.4</c:v>
                </c:pt>
                <c:pt idx="1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24DD-49CD-903E-74BDC24757A4}"/>
            </c:ext>
          </c:extLst>
        </c:ser>
        <c:ser>
          <c:idx val="8"/>
          <c:order val="8"/>
          <c:tx>
            <c:strRef>
              <c:f>'ID113'!$J$51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'ID113'!$K$51:$K$52</c:f>
              <c:numCache>
                <c:formatCode>0.000</c:formatCode>
                <c:ptCount val="2"/>
                <c:pt idx="0">
                  <c:v>36.874074074074073</c:v>
                </c:pt>
                <c:pt idx="1">
                  <c:v>36.874074074074073</c:v>
                </c:pt>
              </c:numCache>
            </c:numRef>
          </c:xVal>
          <c:yVal>
            <c:numRef>
              <c:f>'ID113'!$L$51:$L$52</c:f>
              <c:numCache>
                <c:formatCode>0.0</c:formatCode>
                <c:ptCount val="2"/>
                <c:pt idx="0">
                  <c:v>-4.8</c:v>
                </c:pt>
                <c:pt idx="1">
                  <c:v>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24DD-49CD-903E-74BDC24757A4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'ID113'!$K$14:$K$40</c:f>
              <c:numCache>
                <c:formatCode>General</c:formatCode>
                <c:ptCount val="27"/>
                <c:pt idx="0">
                  <c:v>24.1</c:v>
                </c:pt>
                <c:pt idx="1">
                  <c:v>56.3</c:v>
                </c:pt>
                <c:pt idx="2">
                  <c:v>17.399999999999999</c:v>
                </c:pt>
                <c:pt idx="3">
                  <c:v>36.9</c:v>
                </c:pt>
                <c:pt idx="4">
                  <c:v>4.4000000000000004</c:v>
                </c:pt>
                <c:pt idx="5">
                  <c:v>23.3</c:v>
                </c:pt>
                <c:pt idx="6">
                  <c:v>69.900000000000006</c:v>
                </c:pt>
                <c:pt idx="7">
                  <c:v>37.9</c:v>
                </c:pt>
                <c:pt idx="8">
                  <c:v>29.6</c:v>
                </c:pt>
                <c:pt idx="9">
                  <c:v>55.8</c:v>
                </c:pt>
                <c:pt idx="10">
                  <c:v>43.9</c:v>
                </c:pt>
                <c:pt idx="11">
                  <c:v>57.4</c:v>
                </c:pt>
                <c:pt idx="12">
                  <c:v>29.6</c:v>
                </c:pt>
                <c:pt idx="13">
                  <c:v>20.3</c:v>
                </c:pt>
                <c:pt idx="14">
                  <c:v>22.1</c:v>
                </c:pt>
                <c:pt idx="15">
                  <c:v>34.5</c:v>
                </c:pt>
                <c:pt idx="16">
                  <c:v>19.899999999999999</c:v>
                </c:pt>
                <c:pt idx="17">
                  <c:v>60</c:v>
                </c:pt>
                <c:pt idx="18">
                  <c:v>34.9</c:v>
                </c:pt>
                <c:pt idx="19">
                  <c:v>51</c:v>
                </c:pt>
                <c:pt idx="20">
                  <c:v>71.5</c:v>
                </c:pt>
                <c:pt idx="21">
                  <c:v>12.6</c:v>
                </c:pt>
                <c:pt idx="22">
                  <c:v>55.5</c:v>
                </c:pt>
                <c:pt idx="23">
                  <c:v>12.3</c:v>
                </c:pt>
                <c:pt idx="24">
                  <c:v>56.9</c:v>
                </c:pt>
                <c:pt idx="25">
                  <c:v>56.6</c:v>
                </c:pt>
                <c:pt idx="26">
                  <c:v>1</c:v>
                </c:pt>
              </c:numCache>
            </c:numRef>
          </c:xVal>
          <c:yVal>
            <c:numRef>
              <c:f>'ID113'!$L$14:$L$40</c:f>
              <c:numCache>
                <c:formatCode>General</c:formatCode>
                <c:ptCount val="27"/>
                <c:pt idx="0">
                  <c:v>1.1000000000000001</c:v>
                </c:pt>
                <c:pt idx="1">
                  <c:v>3.6</c:v>
                </c:pt>
                <c:pt idx="2">
                  <c:v>0</c:v>
                </c:pt>
                <c:pt idx="3">
                  <c:v>12.5</c:v>
                </c:pt>
                <c:pt idx="4">
                  <c:v>-2.4</c:v>
                </c:pt>
                <c:pt idx="5">
                  <c:v>-1.3</c:v>
                </c:pt>
                <c:pt idx="6">
                  <c:v>-4.8</c:v>
                </c:pt>
                <c:pt idx="7">
                  <c:v>4.2</c:v>
                </c:pt>
                <c:pt idx="8">
                  <c:v>0.5</c:v>
                </c:pt>
                <c:pt idx="9">
                  <c:v>7.2</c:v>
                </c:pt>
                <c:pt idx="10">
                  <c:v>3.9</c:v>
                </c:pt>
                <c:pt idx="11">
                  <c:v>1.2</c:v>
                </c:pt>
                <c:pt idx="12">
                  <c:v>2.1</c:v>
                </c:pt>
                <c:pt idx="13">
                  <c:v>7.4</c:v>
                </c:pt>
                <c:pt idx="14">
                  <c:v>3.8</c:v>
                </c:pt>
                <c:pt idx="15">
                  <c:v>3.6</c:v>
                </c:pt>
                <c:pt idx="16">
                  <c:v>-2.9</c:v>
                </c:pt>
                <c:pt idx="17">
                  <c:v>5.3</c:v>
                </c:pt>
                <c:pt idx="18">
                  <c:v>2.2000000000000002</c:v>
                </c:pt>
                <c:pt idx="19">
                  <c:v>7.9</c:v>
                </c:pt>
                <c:pt idx="20">
                  <c:v>-0.8</c:v>
                </c:pt>
                <c:pt idx="21">
                  <c:v>-3.3</c:v>
                </c:pt>
                <c:pt idx="22">
                  <c:v>8.3000000000000007</c:v>
                </c:pt>
                <c:pt idx="23">
                  <c:v>0</c:v>
                </c:pt>
                <c:pt idx="24">
                  <c:v>2.5</c:v>
                </c:pt>
                <c:pt idx="25">
                  <c:v>4.3</c:v>
                </c:pt>
                <c:pt idx="26">
                  <c:v>-1.3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24DD-49CD-903E-74BDC2475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'ID113'!$K$5</c:f>
              <c:strCache>
                <c:ptCount val="1"/>
                <c:pt idx="0">
                  <c:v>Children aged less than 3 years in formal childcare (% of the under 3-years-old population)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'ID113'!$K$9</c:f>
              <c:strCache>
                <c:ptCount val="1"/>
                <c:pt idx="0">
                  <c:v>Children aged less than 3 years in formal childcare (% of the under 3-years-old population)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47236200738068"/>
          <c:y val="3.38536207434081E-2"/>
          <c:w val="0.85616924200264444"/>
          <c:h val="0.92840461524435391"/>
        </c:manualLayout>
      </c:layout>
      <c:scatterChart>
        <c:scatterStyle val="lineMarker"/>
        <c:varyColors val="0"/>
        <c:ser>
          <c:idx val="1"/>
          <c:order val="0"/>
          <c:tx>
            <c:strRef>
              <c:f>'ID114'!$P$13</c:f>
              <c:strCache>
                <c:ptCount val="1"/>
                <c:pt idx="0">
                  <c:v>blue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0B0F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{EB54ED1E-DD1A-4412-9E73-9EC8AC3F3286}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{74315DB1-0779-4CC0-AA95-C81125B70CF0}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{14AEDD30-A31F-4C03-A227-911BCC9FBA5C}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{532E21E2-6527-4396-B165-F48226002274}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{356F18E4-2D92-4703-821B-F8B3855FE3C2}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{B8D3685E-2E72-4B90-8515-99534F011B28}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{D67DE949-4920-45F1-A1E2-8E170CE1A031}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{C48FBAA8-C7E5-4B1E-BCF7-440FAEA46BFA}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{BF30F941-6353-4079-854C-D971E6551B71}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{D6DD653E-17C3-425F-8F3A-2F968A415E7C}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{B0E452AF-0A39-4492-B117-CB22B9C135E7}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{866EA5B4-04B3-4E17-B430-E978D4EB34BB}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{B412EA6D-D069-4EC8-8D24-0C074942750A}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{DA2104C3-86B4-4F8E-97C6-747701FA5144}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{4594A0EC-8636-422D-9DE1-62A71D80C9F5}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{2721A5CF-4F58-4AB9-88A1-60E59CF8A8E0}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{716724CE-8E1D-4C80-B0B4-77E769C3C71D}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{17B663CD-AE3A-4A7B-A065-028B13382EC6}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{19C17EBF-0FA4-45CC-B80F-2754F0ECB6EC}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{6605A851-7FD8-4C8A-8F41-53A110418482}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{62BC5CFF-ECF4-4F75-9761-DD90E88671E4}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{BC2CCB77-2515-46CA-8BD9-2948C5138C99}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{A0C65574-ECEC-4208-9022-A2D1191AB7D9}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{A1D778D7-2B70-4D06-B3E2-A99601DD8DCF}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{E3A52EBE-84B1-49B1-83B7-F73D53D2E2FE}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{D1E5613B-F910-4908-98B9-5ECDC730E697}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{28313231-73F1-4FE3-9B3F-F203DD6D623B}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{50B29448-4F28-4DF1-A3A1-BD2B81F7EA66}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'ID114'!$P$14:$P$40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06D-4276-80A0-C3C4AF83229D}"/>
            </c:ext>
          </c:extLst>
        </c:ser>
        <c:ser>
          <c:idx val="2"/>
          <c:order val="1"/>
          <c:tx>
            <c:strRef>
              <c:f>'ID114'!$Q$13</c:f>
              <c:strCache>
                <c:ptCount val="1"/>
                <c:pt idx="0">
                  <c:v>dark_green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B050"/>
              </a:solidFill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{22539FA0-EA5B-4C60-AD3A-51B53492D12C}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{30A8D3A4-1507-42AC-8754-E7FB6D144967}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{A5C0BA28-163A-4FEA-B7AB-6FD4A747264E}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{1FD768B7-ECAA-4EB9-ABCE-EDAA56427F17}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{F2D0C7B8-8F47-4E81-BD66-00D0B8C861B7}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{FABA6F69-44A1-4B8E-93FF-0D9B04A9F100}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{7C105FE1-03F1-4538-AB3A-D373D3ED7C16}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{67C332C7-2B28-4D86-ACB0-161FCE578CDF}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{E6BCF8A9-E193-4DC1-BA7C-48F49088428C}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{8BC50FAC-ECB6-4012-8538-0A9C8779D8E3}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{458B92DD-676F-4B04-8E1E-D6F2ED832C97}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{4E9EFAAB-1A37-4C1A-899B-D395690B8185}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{CE069553-15F1-47A6-8F77-9E1F704100AE}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{0BC24EB5-16D8-4059-9846-042AAF18ED15}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{723AFC59-4C75-4FE2-BD27-400393B321F5}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{68CA9E36-B613-4194-9C7B-03151A5651C2}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{F8E7170B-A9D5-4237-ABCB-CC1858CCB74B}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{645C3752-52F0-4349-B439-FD659DDC797A}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{11E5FC61-CC24-498F-A90B-360F6E612EA6}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{92BBED83-125E-4AE1-85CD-C607C9FCC12D}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{EA34FF87-FF4E-428C-98A0-E7A830706010}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{BBD922A9-4D2B-4E08-BED9-4599B896A5BD}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{1E94ABB4-FE10-46CE-B9E0-739AD40BBD2F}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{E9552003-3FC5-4E9A-8D30-F89792F3D9F0}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{03F8848A-6794-4B62-BC4D-45D24D58C0FA}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{AC752753-C30C-4D1C-A35D-48D8F5E58A64}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{B90F99B7-5CFB-43F1-A7B8-7C19CCC3C6D1}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{0F6D9F96-CEC7-4B66-BB52-6AF9C04C63F6}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'ID114'!$Q$14:$Q$40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06D-4276-80A0-C3C4AF83229D}"/>
            </c:ext>
          </c:extLst>
        </c:ser>
        <c:ser>
          <c:idx val="3"/>
          <c:order val="2"/>
          <c:tx>
            <c:strRef>
              <c:f>'ID114'!$R$13</c:f>
              <c:strCache>
                <c:ptCount val="1"/>
                <c:pt idx="0">
                  <c:v>green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4"/>
            <c:spPr>
              <a:solidFill>
                <a:srgbClr val="66FF66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{2FA442B0-2AB8-4940-B308-295DF8EC52C3}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{C75C4312-B300-4EDC-976B-2C66044E20EE}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{686C18FD-D825-4FB1-9E83-66F9CEE11DED}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{3B0CDFDB-0F97-4FD6-BDFE-EEF9AE3C3968}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{425ED8AB-F14D-465A-9087-CA05995F0E12}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{48001914-289D-44E5-9459-422D5873FD78}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{350755E0-5572-4A87-AD56-8B7F511791FC}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{5C6AF793-3EF9-410F-8104-5F5B1CEDE2B9}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{041C4484-609A-4E21-947D-FE226CB3180D}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{FA57C42B-75AE-480E-96AF-96BFC8A1B177}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{4F1885CC-3CB0-4B51-812C-9DC9D652F2EB}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{E8E66B39-C698-4D26-8DFB-75F268712482}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{53CCDF3C-31AD-4711-91FF-2288C94A2C26}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{A1B6422F-8132-4DDE-8D75-AFCD7264A599}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{EC2BEFA5-1EFB-4F30-B0F3-A720C1EB4850}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{F92FDB27-567A-42D7-9F5C-DBC0CB4600DA}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{A7FD6804-2A08-4425-A986-8C0C5A666436}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{B29A61D1-C414-4ECF-ACA1-341CA764575E}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{F694332F-7149-49C7-85F4-0293876DD5BE}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{C483673C-F226-4AE6-B889-BFC7688EFBF8}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{DCDD7AAC-5DFD-4851-B55C-DBFFE7B5DF4A}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{72114786-DA6C-4C95-9025-B0883EDDF296}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{928FB746-8157-46EB-A896-AE23620B0812}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{D2A80EF1-77CE-4EA4-B0C0-06F42027C90D}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{D5B327D3-D8D2-4869-9B27-A9549194EF5D}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{D18F0415-EB69-4A7A-AE39-114BE385F132}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{10FB7E37-1FA0-4FC5-8D8D-6CC72348825F}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{8F0675A8-AE35-483B-BF98-5F7F5B1272E9}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'ID114'!$R$14:$R$40</c:f>
              <c:numCache>
                <c:formatCode>General</c:formatCode>
                <c:ptCount val="27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0.2</c:v>
                </c:pt>
                <c:pt idx="5">
                  <c:v>-0.1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-0.3</c:v>
                </c:pt>
                <c:pt idx="13">
                  <c:v>-0.4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</c:v>
                </c:pt>
                <c:pt idx="18">
                  <c:v>#N/A</c:v>
                </c:pt>
                <c:pt idx="19">
                  <c:v>-0.2</c:v>
                </c:pt>
                <c:pt idx="20">
                  <c:v>0.1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06D-4276-80A0-C3C4AF83229D}"/>
            </c:ext>
          </c:extLst>
        </c:ser>
        <c:ser>
          <c:idx val="4"/>
          <c:order val="3"/>
          <c:tx>
            <c:strRef>
              <c:f>'ID114'!$S$13</c:f>
              <c:strCache>
                <c:ptCount val="1"/>
                <c:pt idx="0">
                  <c:v>orange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solidFill>
                <a:srgbClr val="FFC000"/>
              </a:solidFill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{C2034433-8061-4392-8B50-66121FD0CBAF}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{560E8901-DF70-4192-9687-D41748CCA9F6}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{0118D021-63D4-492D-AE6E-2FA5FED273CA}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{074CF49A-7480-459A-94C3-7482B430E29F}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{C483F1A8-2442-4D7F-9B5F-2CBDEE94AA63}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{73A3F1E5-1120-4E97-A437-909E85392E39}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{3A8786BC-C477-4F93-9E4B-E823127DFAE3}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{3A337ECC-D93C-46AA-A35C-3AA4C29D2971}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{94E17F0A-0483-4581-9A2B-B7E05CB6A4BB}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{20D77A27-2E4B-4877-A561-068247C1AA58}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{5037DEB6-C1F9-4F92-98EC-44F4F98854AE}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{5236CF22-7F8E-41AF-8BF3-2BD8376E84EF}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{B7C1D28F-F00A-47B5-BB51-8C2EA7489CE8}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{396E4D36-1BC8-4337-8521-D5E97486A994}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{CF66CB31-138D-4E54-9715-9208B27D9036}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{A474C920-E9D2-4635-A0F5-ABD2C4454C02}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{1C97DE81-E6FF-4709-AEBC-1DA2A33B5168}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{420C234E-D864-4F80-9A72-F248B219848B}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{5238F486-2535-4479-A8FE-1E8C9C843D3E}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{C5E4DBD1-DA61-4040-B43A-D0DED6B22FDF}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{FBC642F0-D0A9-420E-A701-9110AAAAC357}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{C48B3BFF-13FE-4F51-BF45-57FD27499E20}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{F744C11D-CB70-4D53-8610-31A71F64C0E6}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{5889DE2F-1DCF-419C-A862-AE323673882E}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{F024F396-38EF-41C3-A2F8-730A0A25DF19}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{ACD5A97A-A867-4DE4-9572-103236A6E8CA}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{C2A62749-ADE4-48AC-90DE-96BBC87444DB}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{FEFA0047-9BE3-4251-ADA3-4F18D85C9B34}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'ID114'!$S$14:$S$40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106D-4276-80A0-C3C4AF83229D}"/>
            </c:ext>
          </c:extLst>
        </c:ser>
        <c:ser>
          <c:idx val="5"/>
          <c:order val="4"/>
          <c:tx>
            <c:strRef>
              <c:f>'ID114'!$T$13</c:f>
              <c:strCache>
                <c:ptCount val="1"/>
                <c:pt idx="0">
                  <c:v>red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solidFill>
                <a:srgbClr val="FF00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{4E49CF22-CDFB-49BA-833C-65F3B166B43C}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{413D11FD-9068-4681-8270-9BA58ACF31F6}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{DC63D31D-88BA-4507-A61F-C8052B53C561}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{82361204-5819-4B47-8215-DB1A327ACBC8}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{388BED6A-C24C-4164-A0AB-A54ABCEAA950}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{468B8359-A138-49C3-8B0A-CBC896EA216B}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{24E8AB96-BAA3-4CBC-A152-A2FA8ECDC034}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{6FFC9308-3A1A-4A3B-919A-85CADC6BF710}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{902DF2E7-D97B-4205-B465-CE94F9770253}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{F7EE32C5-50D7-4818-A7E6-C30BD48A71CB}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{78C0D08A-C3C5-48C5-86BB-162CEA37755C}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{969556BE-3339-4E13-A60B-CB9A8D9C995A}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{95C4CB61-8BA3-4DF2-BDEA-FE200D17D3A1}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{D9CF1D35-96DC-418B-90E7-A867E5ADF3A3}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{86280B50-484A-439A-B8D2-BA6E8FB9A7B9}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{8D94CA83-F8A8-47EB-8EEF-CE4E14FB1323}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{0C2DF171-B5DC-4300-9D32-06C880A2FB89}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{C446D94F-091A-4EE0-8784-DA7F691850AC}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{448F3B0D-8887-4072-9C13-BBCE94F85C19}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{DECCF2C0-C1D1-4A68-8670-CDA42BBAB8B5}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{765E0E88-03A8-4900-BB0A-B7F8EA52C391}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{52B3500E-40A4-4CFF-BABB-719513C296C0}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{A56D491D-4B27-4AD9-ACD7-D3D5857E300F}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{17E12D17-1760-40B7-9A64-D1E8C2AFCF30}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{A35905C3-4A48-4ADC-B5A9-B322C4BD69F4}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{530352BD-E618-4D62-B189-E6C4BFFC91DC}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{60F65714-7527-4058-9D84-DA53DBC6F7FC}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{0A577DD3-5F58-43D7-81AE-2D5DDD60A3B8}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'ID114'!$T$14:$T$40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3.8</c:v>
                </c:pt>
                <c:pt idx="8">
                  <c:v>2.6</c:v>
                </c:pt>
                <c:pt idx="9">
                  <c:v>#N/A</c:v>
                </c:pt>
                <c:pt idx="10">
                  <c:v>1.4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2.4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106D-4276-80A0-C3C4AF83229D}"/>
            </c:ext>
          </c:extLst>
        </c:ser>
        <c:ser>
          <c:idx val="0"/>
          <c:order val="5"/>
          <c:tx>
            <c:strRef>
              <c:f>'ID114'!$U$13</c:f>
              <c:strCache>
                <c:ptCount val="1"/>
                <c:pt idx="0">
                  <c:v>white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3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{7664C6BB-F514-43F0-9F7B-165E214648DF}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{A484A403-9977-401E-9E1E-B4A1B79C07CB}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{61A0A6C1-AEAD-4F22-85F2-1B898750FB1D}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{81B9290F-B811-435C-AC16-72D70279D6D9}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{F2EE5633-E0B3-49F3-8091-C1BEC17105D8}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{6AD1AB66-BD13-4825-A4F2-F30EA5AF46D1}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{2FB703DE-E92C-4675-B9E6-4E33AAE54AD0}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{3E392F74-74D1-45CF-BCB9-BAF244766E96}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{560618FB-6344-4FDF-BB81-F6AF2D890334}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{BFFB099C-03B2-4A4D-AFBE-26B58B97C965}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{673A083F-9334-41F7-9E7A-BC9FA1944D03}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{874C98D3-0D2E-4CC3-B038-A145594AD609}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{78C4C8D5-95CE-4CC1-BAC5-A003437E2CF7}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{30EBB487-A91F-4993-BB65-5422FECA48FA}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{B04762B1-9B7C-4FFB-B517-838A05B6AE94}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{D431B7E6-1B7C-49EB-A7EA-E87029288CC2}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{94184224-4A0D-4812-89DB-868E469DAB71}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{B1D3C23E-CB6B-454F-9E7F-596393272C13}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{3224CEE3-DB20-418A-8128-0DEB5C70D223}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{B26A38DB-B0F1-410D-9A5A-37D8310BA3E3}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{5075B094-0EF6-48F6-A057-0799AA02217E}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{4152B80A-4549-42C2-BC1A-9EFF5E9E517E}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{F983AB55-8A79-49FF-95DA-F6DB8C9BDC48}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{07611A64-9908-4A7E-BC37-94AE3AD53762}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{1C1A8F74-B898-4BB6-AF06-DB6379D167B0}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{71C4B24E-8FCA-41CF-A479-FF3742540C83}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{E5DCA9C8-E004-43B3-8A41-AC7BE74D5075}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{82E26752-ECA3-4967-96DB-4AA260FEFE92}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'ID114'!$U$14:$U$40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</c:v>
                </c:pt>
                <c:pt idx="7">
                  <c:v>#N/A</c:v>
                </c:pt>
                <c:pt idx="8">
                  <c:v>#N/A</c:v>
                </c:pt>
                <c:pt idx="9">
                  <c:v>0.6</c:v>
                </c:pt>
                <c:pt idx="10">
                  <c:v>#N/A</c:v>
                </c:pt>
                <c:pt idx="11">
                  <c:v>0.5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1.3</c:v>
                </c:pt>
                <c:pt idx="22">
                  <c:v>-0.1</c:v>
                </c:pt>
                <c:pt idx="23">
                  <c:v>#N/A</c:v>
                </c:pt>
                <c:pt idx="24">
                  <c:v>0.3</c:v>
                </c:pt>
                <c:pt idx="25">
                  <c:v>0.1</c:v>
                </c:pt>
                <c:pt idx="2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106D-4276-80A0-C3C4AF83229D}"/>
            </c:ext>
          </c:extLst>
        </c:ser>
        <c:ser>
          <c:idx val="6"/>
          <c:order val="6"/>
          <c:tx>
            <c:strRef>
              <c:f>'ID114'!$V$13</c:f>
              <c:strCache>
                <c:ptCount val="1"/>
                <c:pt idx="0">
                  <c:v>yellow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3"/>
            <c:spPr>
              <a:solidFill>
                <a:srgbClr val="EEE800"/>
              </a:solidFill>
              <a:ln>
                <a:solidFill>
                  <a:schemeClr val="tx2"/>
                </a:solidFill>
              </a:ln>
            </c:spPr>
          </c:marker>
          <c:dLbls>
            <c:dLbl>
              <c:idx val="0"/>
              <c:tx>
                <c:strRef>
                  <c:f>'ID114'!$N$14</c:f>
                  <c:strCache>
                    <c:ptCount val="1"/>
                    <c:pt idx="0">
                      <c:v>AT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{062E5462-EE60-4D37-A607-AA07A97AA270}</c15:txfldGUID>
                      <c15:f>'ID114'!$N$14</c15:f>
                      <c15:dlblFieldTableCache>
                        <c:ptCount val="1"/>
                        <c:pt idx="0">
                          <c:v>AT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106D-4276-80A0-C3C4AF83229D}"/>
                </c:ext>
              </c:extLst>
            </c:dLbl>
            <c:dLbl>
              <c:idx val="1"/>
              <c:tx>
                <c:strRef>
                  <c:f>'ID114'!$N$15</c:f>
                  <c:strCache>
                    <c:ptCount val="1"/>
                    <c:pt idx="0">
                      <c:v>BE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{CE9E70F8-0BE2-41FD-BF36-21F904209CBB}</c15:txfldGUID>
                      <c15:f>'ID114'!$N$15</c15:f>
                      <c15:dlblFieldTableCache>
                        <c:ptCount val="1"/>
                        <c:pt idx="0">
                          <c:v>BE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106D-4276-80A0-C3C4AF83229D}"/>
                </c:ext>
              </c:extLst>
            </c:dLbl>
            <c:dLbl>
              <c:idx val="2"/>
              <c:tx>
                <c:strRef>
                  <c:f>'ID114'!$N$16</c:f>
                  <c:strCache>
                    <c:ptCount val="1"/>
                    <c:pt idx="0">
                      <c:v>BG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{7BF723ED-7650-4876-8A37-D7A69AE30A95}</c15:txfldGUID>
                      <c15:f>'ID114'!$N$16</c15:f>
                      <c15:dlblFieldTableCache>
                        <c:ptCount val="1"/>
                        <c:pt idx="0">
                          <c:v>BG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106D-4276-80A0-C3C4AF83229D}"/>
                </c:ext>
              </c:extLst>
            </c:dLbl>
            <c:dLbl>
              <c:idx val="3"/>
              <c:tx>
                <c:strRef>
                  <c:f>'ID114'!$N$17</c:f>
                  <c:strCache>
                    <c:ptCount val="1"/>
                    <c:pt idx="0">
                      <c:v>CY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{ED2E627F-FDBD-40DF-99E8-8E2997224EA1}</c15:txfldGUID>
                      <c15:f>'ID114'!$N$17</c15:f>
                      <c15:dlblFieldTableCache>
                        <c:ptCount val="1"/>
                        <c:pt idx="0">
                          <c:v>CY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106D-4276-80A0-C3C4AF83229D}"/>
                </c:ext>
              </c:extLst>
            </c:dLbl>
            <c:dLbl>
              <c:idx val="4"/>
              <c:tx>
                <c:strRef>
                  <c:f>'ID114'!$N$18</c:f>
                  <c:strCache>
                    <c:ptCount val="1"/>
                    <c:pt idx="0">
                      <c:v>CZ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{DA076769-C08F-403E-AE4F-51845A84924D}</c15:txfldGUID>
                      <c15:f>'ID114'!$N$18</c15:f>
                      <c15:dlblFieldTableCache>
                        <c:ptCount val="1"/>
                        <c:pt idx="0">
                          <c:v>CZ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106D-4276-80A0-C3C4AF83229D}"/>
                </c:ext>
              </c:extLst>
            </c:dLbl>
            <c:dLbl>
              <c:idx val="5"/>
              <c:tx>
                <c:strRef>
                  <c:f>'ID114'!$N$19</c:f>
                  <c:strCache>
                    <c:ptCount val="1"/>
                    <c:pt idx="0">
                      <c:v>DE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{BD2A42C3-1FC0-4126-80BC-C10A6E2014ED}</c15:txfldGUID>
                      <c15:f>'ID114'!$N$19</c15:f>
                      <c15:dlblFieldTableCache>
                        <c:ptCount val="1"/>
                        <c:pt idx="0">
                          <c:v>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106D-4276-80A0-C3C4AF83229D}"/>
                </c:ext>
              </c:extLst>
            </c:dLbl>
            <c:dLbl>
              <c:idx val="6"/>
              <c:tx>
                <c:strRef>
                  <c:f>'ID114'!$N$20</c:f>
                  <c:strCache>
                    <c:ptCount val="1"/>
                    <c:pt idx="0">
                      <c:v>DK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{E34DF346-F26E-48D5-ADB0-B7B713263193}</c15:txfldGUID>
                      <c15:f>'ID114'!$N$20</c15:f>
                      <c15:dlblFieldTableCache>
                        <c:ptCount val="1"/>
                        <c:pt idx="0">
                          <c:v>DK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106D-4276-80A0-C3C4AF83229D}"/>
                </c:ext>
              </c:extLst>
            </c:dLbl>
            <c:dLbl>
              <c:idx val="7"/>
              <c:tx>
                <c:strRef>
                  <c:f>'ID114'!$N$21</c:f>
                  <c:strCache>
                    <c:ptCount val="1"/>
                    <c:pt idx="0">
                      <c:v>EE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{815AB7A0-7DF2-4894-9F9E-1ABF75A17EF4}</c15:txfldGUID>
                      <c15:f>'ID114'!$N$21</c15:f>
                      <c15:dlblFieldTableCache>
                        <c:ptCount val="1"/>
                        <c:pt idx="0">
                          <c:v>EE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106D-4276-80A0-C3C4AF83229D}"/>
                </c:ext>
              </c:extLst>
            </c:dLbl>
            <c:dLbl>
              <c:idx val="8"/>
              <c:tx>
                <c:strRef>
                  <c:f>'ID114'!$N$22</c:f>
                  <c:strCache>
                    <c:ptCount val="1"/>
                    <c:pt idx="0">
                      <c:v>EL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{C82BF6E3-8994-4AE3-8A30-448169051698}</c15:txfldGUID>
                      <c15:f>'ID114'!$N$22</c15:f>
                      <c15:dlblFieldTableCache>
                        <c:ptCount val="1"/>
                        <c:pt idx="0">
                          <c:v>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106D-4276-80A0-C3C4AF83229D}"/>
                </c:ext>
              </c:extLst>
            </c:dLbl>
            <c:dLbl>
              <c:idx val="9"/>
              <c:tx>
                <c:strRef>
                  <c:f>'ID114'!$N$23</c:f>
                  <c:strCache>
                    <c:ptCount val="1"/>
                    <c:pt idx="0">
                      <c:v>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{9E1F276A-6093-4E90-9036-06D2775C7F75}</c15:txfldGUID>
                      <c15:f>'ID114'!$N$23</c15:f>
                      <c15:dlblFieldTableCache>
                        <c:ptCount val="1"/>
                        <c:pt idx="0">
                          <c:v>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106D-4276-80A0-C3C4AF83229D}"/>
                </c:ext>
              </c:extLst>
            </c:dLbl>
            <c:dLbl>
              <c:idx val="10"/>
              <c:tx>
                <c:strRef>
                  <c:f>'ID114'!$N$24</c:f>
                  <c:strCache>
                    <c:ptCount val="1"/>
                    <c:pt idx="0">
                      <c:v>FI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{8D888347-774E-438F-98AE-C6188FA4B738}</c15:txfldGUID>
                      <c15:f>'ID114'!$N$24</c15:f>
                      <c15:dlblFieldTableCache>
                        <c:ptCount val="1"/>
                        <c:pt idx="0">
                          <c:v>FI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106D-4276-80A0-C3C4AF83229D}"/>
                </c:ext>
              </c:extLst>
            </c:dLbl>
            <c:dLbl>
              <c:idx val="11"/>
              <c:tx>
                <c:strRef>
                  <c:f>'ID114'!$N$25</c:f>
                  <c:strCache>
                    <c:ptCount val="1"/>
                    <c:pt idx="0">
                      <c:v>FR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{6F329BBD-7356-4A1A-89F8-BCC0329F51F2}</c15:txfldGUID>
                      <c15:f>'ID114'!$N$25</c15:f>
                      <c15:dlblFieldTableCache>
                        <c:ptCount val="1"/>
                        <c:pt idx="0">
                          <c:v>FR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106D-4276-80A0-C3C4AF83229D}"/>
                </c:ext>
              </c:extLst>
            </c:dLbl>
            <c:dLbl>
              <c:idx val="12"/>
              <c:tx>
                <c:strRef>
                  <c:f>'ID114'!$N$26</c:f>
                  <c:strCache>
                    <c:ptCount val="1"/>
                    <c:pt idx="0">
                      <c:v>HR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{82A1FE88-6E30-4273-8A17-1A244D075A67}</c15:txfldGUID>
                      <c15:f>'ID114'!$N$26</c15:f>
                      <c15:dlblFieldTableCache>
                        <c:ptCount val="1"/>
                        <c:pt idx="0">
                          <c:v>HR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106D-4276-80A0-C3C4AF83229D}"/>
                </c:ext>
              </c:extLst>
            </c:dLbl>
            <c:dLbl>
              <c:idx val="13"/>
              <c:tx>
                <c:strRef>
                  <c:f>'ID114'!$N$27</c:f>
                  <c:strCache>
                    <c:ptCount val="1"/>
                    <c:pt idx="0">
                      <c:v>HU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{B14350AB-BEB1-4C46-8FE1-251A6773C436}</c15:txfldGUID>
                      <c15:f>'ID114'!$N$27</c15:f>
                      <c15:dlblFieldTableCache>
                        <c:ptCount val="1"/>
                        <c:pt idx="0">
                          <c:v>HU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106D-4276-80A0-C3C4AF83229D}"/>
                </c:ext>
              </c:extLst>
            </c:dLbl>
            <c:dLbl>
              <c:idx val="14"/>
              <c:tx>
                <c:strRef>
                  <c:f>'ID114'!$N$28</c:f>
                  <c:strCache>
                    <c:ptCount val="1"/>
                    <c:pt idx="0">
                      <c:v>IE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{B00FD6E8-766A-47C3-81D9-1721DE00B3D5}</c15:txfldGUID>
                      <c15:f>'ID114'!$N$28</c15:f>
                      <c15:dlblFieldTableCache>
                        <c:ptCount val="1"/>
                        <c:pt idx="0">
                          <c:v>IE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106D-4276-80A0-C3C4AF83229D}"/>
                </c:ext>
              </c:extLst>
            </c:dLbl>
            <c:dLbl>
              <c:idx val="15"/>
              <c:tx>
                <c:strRef>
                  <c:f>'ID114'!$N$29</c:f>
                  <c:strCache>
                    <c:ptCount val="1"/>
                    <c:pt idx="0">
                      <c:v>IT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{89799BA6-BBE7-428B-A652-9FD3881240AE}</c15:txfldGUID>
                      <c15:f>'ID114'!$N$29</c15:f>
                      <c15:dlblFieldTableCache>
                        <c:ptCount val="1"/>
                        <c:pt idx="0">
                          <c:v>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106D-4276-80A0-C3C4AF83229D}"/>
                </c:ext>
              </c:extLst>
            </c:dLbl>
            <c:dLbl>
              <c:idx val="16"/>
              <c:tx>
                <c:strRef>
                  <c:f>'ID114'!$N$30</c:f>
                  <c:strCache>
                    <c:ptCount val="1"/>
                    <c:pt idx="0">
                      <c:v>LT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{E014E490-26A9-4E70-96C3-809C93EF6537}</c15:txfldGUID>
                      <c15:f>'ID114'!$N$30</c15:f>
                      <c15:dlblFieldTableCache>
                        <c:ptCount val="1"/>
                        <c:pt idx="0">
                          <c:v>LT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106D-4276-80A0-C3C4AF83229D}"/>
                </c:ext>
              </c:extLst>
            </c:dLbl>
            <c:dLbl>
              <c:idx val="17"/>
              <c:tx>
                <c:strRef>
                  <c:f>'ID114'!$N$31</c:f>
                  <c:strCache>
                    <c:ptCount val="1"/>
                    <c:pt idx="0">
                      <c:v>LU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{F01FFAC8-EA7E-48A1-AE02-D0BFE0F827D9}</c15:txfldGUID>
                      <c15:f>'ID114'!$N$31</c15:f>
                      <c15:dlblFieldTableCache>
                        <c:ptCount val="1"/>
                        <c:pt idx="0">
                          <c:v>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106D-4276-80A0-C3C4AF83229D}"/>
                </c:ext>
              </c:extLst>
            </c:dLbl>
            <c:dLbl>
              <c:idx val="18"/>
              <c:tx>
                <c:strRef>
                  <c:f>'ID114'!$N$32</c:f>
                  <c:strCache>
                    <c:ptCount val="1"/>
                    <c:pt idx="0">
                      <c:v>LV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{C306CEDE-3E39-4D75-B7BD-18E1391A8A3C}</c15:txfldGUID>
                      <c15:f>'ID114'!$N$32</c15:f>
                      <c15:dlblFieldTableCache>
                        <c:ptCount val="1"/>
                        <c:pt idx="0">
                          <c:v>LV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106D-4276-80A0-C3C4AF83229D}"/>
                </c:ext>
              </c:extLst>
            </c:dLbl>
            <c:dLbl>
              <c:idx val="19"/>
              <c:tx>
                <c:strRef>
                  <c:f>'ID114'!$N$33</c:f>
                  <c:strCache>
                    <c:ptCount val="1"/>
                    <c:pt idx="0">
                      <c:v>MT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{B85C5164-1FF5-4BEB-9D8D-164A2951085B}</c15:txfldGUID>
                      <c15:f>'ID114'!$N$33</c15:f>
                      <c15:dlblFieldTableCache>
                        <c:ptCount val="1"/>
                        <c:pt idx="0">
                          <c:v>MT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106D-4276-80A0-C3C4AF83229D}"/>
                </c:ext>
              </c:extLst>
            </c:dLbl>
            <c:dLbl>
              <c:idx val="20"/>
              <c:tx>
                <c:strRef>
                  <c:f>'ID114'!$N$34</c:f>
                  <c:strCache>
                    <c:ptCount val="1"/>
                    <c:pt idx="0">
                      <c:v>NL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{08312BC3-45CE-4E7E-9A09-601271AD9211}</c15:txfldGUID>
                      <c15:f>'ID114'!$N$34</c15:f>
                      <c15:dlblFieldTableCache>
                        <c:ptCount val="1"/>
                        <c:pt idx="0">
                          <c:v>NL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106D-4276-80A0-C3C4AF83229D}"/>
                </c:ext>
              </c:extLst>
            </c:dLbl>
            <c:dLbl>
              <c:idx val="21"/>
              <c:tx>
                <c:strRef>
                  <c:f>'ID114'!$N$35</c:f>
                  <c:strCache>
                    <c:ptCount val="1"/>
                    <c:pt idx="0">
                      <c:v>PL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{2E617A2B-590E-42C0-8F89-E71E4E0B6338}</c15:txfldGUID>
                      <c15:f>'ID114'!$N$35</c15:f>
                      <c15:dlblFieldTableCache>
                        <c:ptCount val="1"/>
                        <c:pt idx="0">
                          <c:v>PL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106D-4276-80A0-C3C4AF83229D}"/>
                </c:ext>
              </c:extLst>
            </c:dLbl>
            <c:dLbl>
              <c:idx val="22"/>
              <c:tx>
                <c:strRef>
                  <c:f>'ID114'!$N$36</c:f>
                  <c:strCache>
                    <c:ptCount val="1"/>
                    <c:pt idx="0">
                      <c:v>PT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{590352A1-52B3-4B3B-BE63-49B3FAD02BDA}</c15:txfldGUID>
                      <c15:f>'ID114'!$N$36</c15:f>
                      <c15:dlblFieldTableCache>
                        <c:ptCount val="1"/>
                        <c:pt idx="0">
                          <c:v>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106D-4276-80A0-C3C4AF83229D}"/>
                </c:ext>
              </c:extLst>
            </c:dLbl>
            <c:dLbl>
              <c:idx val="23"/>
              <c:tx>
                <c:strRef>
                  <c:f>'ID114'!$N$37</c:f>
                  <c:strCache>
                    <c:ptCount val="1"/>
                    <c:pt idx="0">
                      <c:v>RO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{DAC4225D-3724-4F10-B41F-8C0FB162B045}</c15:txfldGUID>
                      <c15:f>'ID114'!$N$37</c15:f>
                      <c15:dlblFieldTableCache>
                        <c:ptCount val="1"/>
                        <c:pt idx="0">
                          <c:v>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106D-4276-80A0-C3C4AF83229D}"/>
                </c:ext>
              </c:extLst>
            </c:dLbl>
            <c:dLbl>
              <c:idx val="24"/>
              <c:tx>
                <c:strRef>
                  <c:f>'ID114'!$N$38</c:f>
                  <c:strCache>
                    <c:ptCount val="1"/>
                    <c:pt idx="0">
                      <c:v>SE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{2EB3B069-6927-4D95-9C27-A5D6B0C9915E}</c15:txfldGUID>
                      <c15:f>'ID114'!$N$38</c15:f>
                      <c15:dlblFieldTableCache>
                        <c:ptCount val="1"/>
                        <c:pt idx="0">
                          <c:v>SE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106D-4276-80A0-C3C4AF83229D}"/>
                </c:ext>
              </c:extLst>
            </c:dLbl>
            <c:dLbl>
              <c:idx val="25"/>
              <c:tx>
                <c:strRef>
                  <c:f>'ID114'!$N$39</c:f>
                  <c:strCache>
                    <c:ptCount val="1"/>
                    <c:pt idx="0">
                      <c:v>SI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{856153FF-A675-4917-9ABE-954ABA19B35E}</c15:txfldGUID>
                      <c15:f>'ID114'!$N$39</c15:f>
                      <c15:dlblFieldTableCache>
                        <c:ptCount val="1"/>
                        <c:pt idx="0">
                          <c:v>SI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106D-4276-80A0-C3C4AF83229D}"/>
                </c:ext>
              </c:extLst>
            </c:dLbl>
            <c:dLbl>
              <c:idx val="26"/>
              <c:tx>
                <c:strRef>
                  <c:f>'ID114'!$N$40</c:f>
                  <c:strCache>
                    <c:ptCount val="1"/>
                    <c:pt idx="0">
                      <c:v>SK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{C71F57A0-668C-4A45-ABE6-8032FE5077E4}</c15:txfldGUID>
                      <c15:f>'ID114'!$N$40</c15:f>
                      <c15:dlblFieldTableCache>
                        <c:ptCount val="1"/>
                        <c:pt idx="0">
                          <c:v>SK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106D-4276-80A0-C3C4AF83229D}"/>
                </c:ext>
              </c:extLst>
            </c:dLbl>
            <c:dLbl>
              <c:idx val="27"/>
              <c:tx>
                <c:strRef>
                  <c:f>'ID114'!$N$41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{7215BF21-17D2-4479-A0DA-4DACCA35635E}</c15:txfldGUID>
                      <c15:f>'ID114'!$N$41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106D-4276-80A0-C3C4AF832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 i="0" baseline="0"/>
                </a:pPr>
                <a:endParaRPr lang="en-B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'ID114'!$O$14:$O$40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'ID114'!$V$14:$V$40</c:f>
              <c:numCache>
                <c:formatCode>General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106D-4276-80A0-C3C4AF83229D}"/>
            </c:ext>
          </c:extLst>
        </c:ser>
        <c:ser>
          <c:idx val="7"/>
          <c:order val="7"/>
          <c:tx>
            <c:strRef>
              <c:f>'ID114'!$J$48</c:f>
              <c:strCache>
                <c:ptCount val="1"/>
                <c:pt idx="0">
                  <c:v>horizontal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'ID114'!$K$48:$K$49</c:f>
              <c:numCache>
                <c:formatCode>0.0</c:formatCode>
                <c:ptCount val="2"/>
                <c:pt idx="0">
                  <c:v>0.1</c:v>
                </c:pt>
                <c:pt idx="1">
                  <c:v>12.9</c:v>
                </c:pt>
              </c:numCache>
            </c:numRef>
          </c:xVal>
          <c:yVal>
            <c:numRef>
              <c:f>'ID114'!$L$48:$L$49</c:f>
              <c:numCache>
                <c:formatCode>0.000</c:formatCode>
                <c:ptCount val="2"/>
                <c:pt idx="0" formatCode="General">
                  <c:v>0.55555555555555569</c:v>
                </c:pt>
                <c:pt idx="1">
                  <c:v>0.55555555555555569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106D-4276-80A0-C3C4AF83229D}"/>
            </c:ext>
          </c:extLst>
        </c:ser>
        <c:ser>
          <c:idx val="8"/>
          <c:order val="8"/>
          <c:tx>
            <c:strRef>
              <c:f>'ID114'!$J$51</c:f>
              <c:strCache>
                <c:ptCount val="1"/>
                <c:pt idx="0">
                  <c:v>vertical</c:v>
                </c:pt>
              </c:strCache>
            </c:strRef>
          </c:tx>
          <c:spPr>
            <a:ln w="2857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'ID114'!$K$51:$K$52</c:f>
              <c:numCache>
                <c:formatCode>0.000</c:formatCode>
                <c:ptCount val="2"/>
                <c:pt idx="0">
                  <c:v>3.1148148148148143</c:v>
                </c:pt>
                <c:pt idx="1">
                  <c:v>3.1148148148148143</c:v>
                </c:pt>
              </c:numCache>
            </c:numRef>
          </c:xVal>
          <c:yVal>
            <c:numRef>
              <c:f>'ID114'!$L$51:$L$52</c:f>
              <c:numCache>
                <c:formatCode>0.0</c:formatCode>
                <c:ptCount val="2"/>
                <c:pt idx="0">
                  <c:v>-0.4</c:v>
                </c:pt>
                <c:pt idx="1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106D-4276-80A0-C3C4AF83229D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chemeClr val="tx2">
                    <a:lumMod val="75000"/>
                  </a:schemeClr>
                </a:solidFill>
              </a:ln>
            </c:spPr>
            <c:trendlineType val="linear"/>
            <c:forward val="3"/>
            <c:backward val="1"/>
            <c:dispRSqr val="1"/>
            <c:dispEq val="1"/>
            <c:trendlineLbl>
              <c:layout>
                <c:manualLayout>
                  <c:x val="5.5295909431736651E-2"/>
                  <c:y val="-0.4945617807335556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BE"/>
                </a:p>
              </c:txPr>
            </c:trendlineLbl>
          </c:trendline>
          <c:xVal>
            <c:numRef>
              <c:f>'ID114'!$K$14:$K$40</c:f>
              <c:numCache>
                <c:formatCode>General</c:formatCode>
                <c:ptCount val="27"/>
                <c:pt idx="0">
                  <c:v>0.6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0.1</c:v>
                </c:pt>
                <c:pt idx="4">
                  <c:v>0.4</c:v>
                </c:pt>
                <c:pt idx="5">
                  <c:v>0.2</c:v>
                </c:pt>
                <c:pt idx="6">
                  <c:v>2.7</c:v>
                </c:pt>
                <c:pt idx="7">
                  <c:v>12.9</c:v>
                </c:pt>
                <c:pt idx="8">
                  <c:v>11.6</c:v>
                </c:pt>
                <c:pt idx="9">
                  <c:v>1.8</c:v>
                </c:pt>
                <c:pt idx="10">
                  <c:v>7.9</c:v>
                </c:pt>
                <c:pt idx="11">
                  <c:v>3.7</c:v>
                </c:pt>
                <c:pt idx="12">
                  <c:v>1</c:v>
                </c:pt>
                <c:pt idx="13">
                  <c:v>1</c:v>
                </c:pt>
                <c:pt idx="14">
                  <c:v>2.7</c:v>
                </c:pt>
                <c:pt idx="15">
                  <c:v>1.8</c:v>
                </c:pt>
                <c:pt idx="16">
                  <c:v>3.8</c:v>
                </c:pt>
                <c:pt idx="17">
                  <c:v>0.8</c:v>
                </c:pt>
                <c:pt idx="18">
                  <c:v>7.8</c:v>
                </c:pt>
                <c:pt idx="19">
                  <c:v>0.1</c:v>
                </c:pt>
                <c:pt idx="20">
                  <c:v>0.3</c:v>
                </c:pt>
                <c:pt idx="21">
                  <c:v>3.6</c:v>
                </c:pt>
                <c:pt idx="22">
                  <c:v>2.8</c:v>
                </c:pt>
                <c:pt idx="23">
                  <c:v>5.2</c:v>
                </c:pt>
                <c:pt idx="24">
                  <c:v>2.1</c:v>
                </c:pt>
                <c:pt idx="25">
                  <c:v>3.8</c:v>
                </c:pt>
                <c:pt idx="26">
                  <c:v>3.2</c:v>
                </c:pt>
              </c:numCache>
            </c:numRef>
          </c:xVal>
          <c:yVal>
            <c:numRef>
              <c:f>'ID114'!$L$14:$L$40</c:f>
              <c:numCache>
                <c:formatCode>General</c:formatCode>
                <c:ptCount val="27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0.2</c:v>
                </c:pt>
                <c:pt idx="5">
                  <c:v>-0.1</c:v>
                </c:pt>
                <c:pt idx="6">
                  <c:v>0.6</c:v>
                </c:pt>
                <c:pt idx="7">
                  <c:v>3.8</c:v>
                </c:pt>
                <c:pt idx="8">
                  <c:v>2.6</c:v>
                </c:pt>
                <c:pt idx="9">
                  <c:v>0.6</c:v>
                </c:pt>
                <c:pt idx="10">
                  <c:v>1.4</c:v>
                </c:pt>
                <c:pt idx="11">
                  <c:v>0.5</c:v>
                </c:pt>
                <c:pt idx="12">
                  <c:v>-0.3</c:v>
                </c:pt>
                <c:pt idx="13">
                  <c:v>-0.4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0.3</c:v>
                </c:pt>
                <c:pt idx="18">
                  <c:v>2.4</c:v>
                </c:pt>
                <c:pt idx="19">
                  <c:v>-0.2</c:v>
                </c:pt>
                <c:pt idx="20">
                  <c:v>0.1</c:v>
                </c:pt>
                <c:pt idx="21">
                  <c:v>1.3</c:v>
                </c:pt>
                <c:pt idx="22">
                  <c:v>-0.1</c:v>
                </c:pt>
                <c:pt idx="23">
                  <c:v>0.3</c:v>
                </c:pt>
                <c:pt idx="24">
                  <c:v>0.3</c:v>
                </c:pt>
                <c:pt idx="25">
                  <c:v>0.1</c:v>
                </c:pt>
                <c:pt idx="2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106D-4276-80A0-C3C4AF832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61824"/>
        <c:axId val="181691520"/>
      </c:scatterChart>
      <c:valAx>
        <c:axId val="181261824"/>
        <c:scaling>
          <c:orientation val="minMax"/>
        </c:scaling>
        <c:delete val="0"/>
        <c:axPos val="b"/>
        <c:title>
          <c:tx>
            <c:strRef>
              <c:f>'ID114'!$K$5</c:f>
              <c:strCache>
                <c:ptCount val="1"/>
                <c:pt idx="0">
                  <c:v>Self-reported unmet need for medical care (% of population 16+)</c:v>
                </c:pt>
              </c:strCache>
            </c:strRef>
          </c:tx>
          <c:layout>
            <c:manualLayout>
              <c:xMode val="edge"/>
              <c:yMode val="edge"/>
              <c:x val="0.36461887000966986"/>
              <c:y val="0.93446393489030122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400" b="0" i="0" baseline="0"/>
            </a:pPr>
            <a:endParaRPr lang="en-BE"/>
          </a:p>
        </c:txPr>
        <c:crossAx val="181691520"/>
        <c:crosses val="autoZero"/>
        <c:crossBetween val="midCat"/>
      </c:valAx>
      <c:valAx>
        <c:axId val="1816915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strRef>
              <c:f>'ID114'!$K$9</c:f>
              <c:strCache>
                <c:ptCount val="1"/>
                <c:pt idx="0">
                  <c:v>Self-reported unmet need for medical care (% of population 16+) - change</c:v>
                </c:pt>
              </c:strCache>
            </c:strRef>
          </c:tx>
          <c:layout>
            <c:manualLayout>
              <c:xMode val="edge"/>
              <c:yMode val="edge"/>
              <c:x val="1.8987872089579583E-2"/>
              <c:y val="0.2026225680394374"/>
            </c:manualLayout>
          </c:layout>
          <c:overlay val="0"/>
          <c:txPr>
            <a:bodyPr/>
            <a:lstStyle/>
            <a:p>
              <a:pPr>
                <a:defRPr sz="1600" baseline="0"/>
              </a:pPr>
              <a:endParaRPr lang="en-BE"/>
            </a:p>
          </c:txPr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1400" b="1" i="0" baseline="0"/>
            </a:pPr>
            <a:endParaRPr lang="en-BE"/>
          </a:p>
        </c:txPr>
        <c:crossAx val="181261824"/>
        <c:crosses val="autoZero"/>
        <c:crossBetween val="midCat"/>
      </c:valAx>
    </c:plotArea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612AF2-FBDB-4A21-BE87-702CE841B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47</xdr:row>
          <xdr:rowOff>32657</xdr:rowOff>
        </xdr:from>
        <xdr:to>
          <xdr:col>21</xdr:col>
          <xdr:colOff>217714</xdr:colOff>
          <xdr:row>54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ID0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2022</a:t>
          </a:fld>
          <a:endParaRPr lang="en-GB" sz="24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CABA2E-D0F8-4B4C-90F1-C3DDF3F64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489857</xdr:colOff>
          <xdr:row>44</xdr:row>
          <xdr:rowOff>157843</xdr:rowOff>
        </xdr:from>
        <xdr:to>
          <xdr:col>21</xdr:col>
          <xdr:colOff>195943</xdr:colOff>
          <xdr:row>51</xdr:row>
          <xdr:rowOff>130629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1D7AA9-98A0-4534-B1C8-EC6B48AC05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81643</xdr:colOff>
          <xdr:row>44</xdr:row>
          <xdr:rowOff>141514</xdr:rowOff>
        </xdr:from>
        <xdr:to>
          <xdr:col>20</xdr:col>
          <xdr:colOff>381000</xdr:colOff>
          <xdr:row>51</xdr:row>
          <xdr:rowOff>119743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4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E2DB43-1380-4ED5-8349-B5E2E6C8C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582386</xdr:colOff>
          <xdr:row>44</xdr:row>
          <xdr:rowOff>108857</xdr:rowOff>
        </xdr:from>
        <xdr:to>
          <xdr:col>20</xdr:col>
          <xdr:colOff>288471</xdr:colOff>
          <xdr:row>51</xdr:row>
          <xdr:rowOff>87086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7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03842-4EDD-4DCB-8359-95EB1FCDA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440871</xdr:colOff>
          <xdr:row>45</xdr:row>
          <xdr:rowOff>81643</xdr:rowOff>
        </xdr:from>
        <xdr:to>
          <xdr:col>20</xdr:col>
          <xdr:colOff>146957</xdr:colOff>
          <xdr:row>52</xdr:row>
          <xdr:rowOff>54429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7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55732-9F43-490C-B90F-5414C9AA3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517071</xdr:colOff>
          <xdr:row>44</xdr:row>
          <xdr:rowOff>32657</xdr:rowOff>
        </xdr:from>
        <xdr:to>
          <xdr:col>20</xdr:col>
          <xdr:colOff>223157</xdr:colOff>
          <xdr:row>51</xdr:row>
          <xdr:rowOff>10886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20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8EC761-3694-4966-8CB9-D9CA1A799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489857</xdr:colOff>
          <xdr:row>44</xdr:row>
          <xdr:rowOff>174171</xdr:rowOff>
        </xdr:from>
        <xdr:to>
          <xdr:col>20</xdr:col>
          <xdr:colOff>195943</xdr:colOff>
          <xdr:row>51</xdr:row>
          <xdr:rowOff>146957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22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E8DA6-0FEC-4B36-984E-ADFACDFC1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10886</xdr:colOff>
          <xdr:row>43</xdr:row>
          <xdr:rowOff>174171</xdr:rowOff>
        </xdr:from>
        <xdr:to>
          <xdr:col>20</xdr:col>
          <xdr:colOff>310243</xdr:colOff>
          <xdr:row>50</xdr:row>
          <xdr:rowOff>146957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3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88B876-CE99-450E-A72A-F19C7DCDD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43</xdr:row>
          <xdr:rowOff>141514</xdr:rowOff>
        </xdr:from>
        <xdr:to>
          <xdr:col>20</xdr:col>
          <xdr:colOff>163286</xdr:colOff>
          <xdr:row>50</xdr:row>
          <xdr:rowOff>119743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50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D0CA1B-1636-49A0-8B97-603CA2AB9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500743</xdr:colOff>
          <xdr:row>43</xdr:row>
          <xdr:rowOff>108857</xdr:rowOff>
        </xdr:from>
        <xdr:to>
          <xdr:col>20</xdr:col>
          <xdr:colOff>212271</xdr:colOff>
          <xdr:row>50</xdr:row>
          <xdr:rowOff>87086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61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634EFB-4681-4E97-AF6A-CEFCB57A2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511629</xdr:colOff>
          <xdr:row>43</xdr:row>
          <xdr:rowOff>141514</xdr:rowOff>
        </xdr:from>
        <xdr:to>
          <xdr:col>20</xdr:col>
          <xdr:colOff>217714</xdr:colOff>
          <xdr:row>50</xdr:row>
          <xdr:rowOff>119743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66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7E267-0E0C-4AB0-B7F0-1A319C78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174171</xdr:colOff>
          <xdr:row>43</xdr:row>
          <xdr:rowOff>179614</xdr:rowOff>
        </xdr:from>
        <xdr:to>
          <xdr:col>19</xdr:col>
          <xdr:colOff>473529</xdr:colOff>
          <xdr:row>50</xdr:row>
          <xdr:rowOff>157843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83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363185-59E7-482E-8D54-5B11000B3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54429</xdr:colOff>
          <xdr:row>43</xdr:row>
          <xdr:rowOff>125186</xdr:rowOff>
        </xdr:from>
        <xdr:to>
          <xdr:col>19</xdr:col>
          <xdr:colOff>348343</xdr:colOff>
          <xdr:row>50</xdr:row>
          <xdr:rowOff>103414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99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2D17B-FF03-4307-A1F2-B6EFD30DA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42</xdr:row>
          <xdr:rowOff>179614</xdr:rowOff>
        </xdr:from>
        <xdr:to>
          <xdr:col>19</xdr:col>
          <xdr:colOff>125186</xdr:colOff>
          <xdr:row>49</xdr:row>
          <xdr:rowOff>157843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06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A62518-A04E-4C14-9F89-C4829931E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5443</xdr:colOff>
          <xdr:row>42</xdr:row>
          <xdr:rowOff>174171</xdr:rowOff>
        </xdr:from>
        <xdr:to>
          <xdr:col>19</xdr:col>
          <xdr:colOff>304800</xdr:colOff>
          <xdr:row>49</xdr:row>
          <xdr:rowOff>146957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09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72C607-C09D-4C0B-9D8A-EEA6686E1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43</xdr:row>
          <xdr:rowOff>163286</xdr:rowOff>
        </xdr:from>
        <xdr:to>
          <xdr:col>19</xdr:col>
          <xdr:colOff>332014</xdr:colOff>
          <xdr:row>50</xdr:row>
          <xdr:rowOff>141514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13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15874</xdr:colOff>
      <xdr:row>5</xdr:row>
      <xdr:rowOff>63499</xdr:rowOff>
    </xdr:from>
    <xdr:to>
      <xdr:col>45</xdr:col>
      <xdr:colOff>507999</xdr:colOff>
      <xdr:row>57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CB3603-ED54-4DD7-8089-59F5EC88E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43</xdr:row>
          <xdr:rowOff>32657</xdr:rowOff>
        </xdr:from>
        <xdr:to>
          <xdr:col>19</xdr:col>
          <xdr:colOff>125186</xdr:colOff>
          <xdr:row>50</xdr:row>
          <xdr:rowOff>10886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B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Rearrange country labels in the scatterplot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0.1741</cdr:x>
      <cdr:y>0.02161</cdr:y>
    </cdr:from>
    <cdr:to>
      <cdr:x>0.22607</cdr:x>
      <cdr:y>0.061</cdr:y>
    </cdr:to>
    <cdr:sp macro="" textlink="'ID114'!$K$6">
      <cdr:nvSpPr>
        <cdr:cNvPr id="2" name="TextBox 1"/>
        <cdr:cNvSpPr txBox="1"/>
      </cdr:nvSpPr>
      <cdr:spPr>
        <a:xfrm xmlns:a="http://schemas.openxmlformats.org/drawingml/2006/main">
          <a:off x="2396248" y="213730"/>
          <a:ext cx="715254" cy="389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10A4F34-9D92-46CF-A9DF-B24F9DDB3AE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2023</a:t>
          </a:fld>
          <a:endParaRPr lang="en-GB" sz="2400" b="1"/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EF97-5573-413B-B96E-C69636602ED1}">
  <sheetPr codeName="Sheet3"/>
  <dimension ref="B4:V52"/>
  <sheetViews>
    <sheetView tabSelected="1" zoomScale="70" zoomScaleNormal="70" workbookViewId="0">
      <selection activeCell="U43" sqref="U43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6">
        <f>K6</f>
        <v>2022</v>
      </c>
      <c r="C5" s="34"/>
      <c r="D5" s="34"/>
      <c r="E5" s="34"/>
      <c r="F5" s="34"/>
      <c r="G5" s="35"/>
      <c r="J5" t="s">
        <v>49</v>
      </c>
      <c r="K5" t="s" vm="117">
        <v>48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6">
        <v>46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44</v>
      </c>
    </row>
    <row r="10" spans="2:22" ht="16.75" thickTop="1" thickBot="1" x14ac:dyDescent="0.45">
      <c r="B10" s="14" t="s">
        <v>97</v>
      </c>
      <c r="C10" s="15" t="s">
        <v>156</v>
      </c>
      <c r="D10" s="16"/>
      <c r="E10" s="17" t="s">
        <v>13</v>
      </c>
      <c r="F10" s="16"/>
      <c r="G10" s="18"/>
    </row>
    <row r="11" spans="2:22" ht="16.3" thickBot="1" x14ac:dyDescent="0.45">
      <c r="B11" s="19" t="s">
        <v>98</v>
      </c>
      <c r="C11" s="20" t="s">
        <v>7</v>
      </c>
      <c r="D11" s="21"/>
      <c r="E11" s="21" t="s">
        <v>157</v>
      </c>
      <c r="F11" s="22" t="s">
        <v>158</v>
      </c>
      <c r="G11" s="23"/>
    </row>
    <row r="12" spans="2:22" ht="16.3" thickBot="1" x14ac:dyDescent="0.45">
      <c r="B12" s="19" t="s">
        <v>94</v>
      </c>
      <c r="C12" s="20" t="s">
        <v>159</v>
      </c>
      <c r="D12" s="24" t="s">
        <v>24</v>
      </c>
      <c r="E12" s="24"/>
      <c r="F12" s="24" t="s">
        <v>160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17</v>
      </c>
      <c r="F13" s="28" t="s">
        <v>161</v>
      </c>
      <c r="G13" s="25" t="s">
        <v>162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</v>
      </c>
      <c r="D14" s="31"/>
      <c r="E14" s="31" t="s">
        <v>163</v>
      </c>
      <c r="F14" s="31"/>
      <c r="G14" s="32"/>
      <c r="J14" t="s" vm="107">
        <v>33</v>
      </c>
      <c r="K14" vm="106">
        <v>52.2</v>
      </c>
      <c r="L14" vm="108">
        <v>-3.1</v>
      </c>
      <c r="N14" t="s" vm="107">
        <v>33</v>
      </c>
      <c r="O14" vm="106">
        <v>52.2</v>
      </c>
      <c r="P14" t="e">
        <v>#N/A</v>
      </c>
      <c r="Q14" t="e">
        <v>#N/A</v>
      </c>
      <c r="R14" vm="105">
        <v>-3.1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02">
        <v>34.9</v>
      </c>
      <c r="L15" vm="104">
        <v>-4.5</v>
      </c>
      <c r="N15" t="s" vm="103">
        <v>32</v>
      </c>
      <c r="O15" vm="102">
        <v>34.9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101">
        <v>-4.5</v>
      </c>
      <c r="V15" t="e">
        <v>#N/A</v>
      </c>
    </row>
    <row r="16" spans="2:22" x14ac:dyDescent="0.4">
      <c r="J16" t="s" vm="99">
        <v>31</v>
      </c>
      <c r="K16" vm="98">
        <v>9.5</v>
      </c>
      <c r="L16" vm="100">
        <v>-2.2999999999999998</v>
      </c>
      <c r="N16" t="s" vm="99">
        <v>31</v>
      </c>
      <c r="O16" vm="98">
        <v>9.5</v>
      </c>
      <c r="P16" t="e">
        <v>#N/A</v>
      </c>
      <c r="Q16" t="e">
        <v>#N/A</v>
      </c>
      <c r="R16" t="e">
        <v>#N/A</v>
      </c>
      <c r="S16" t="e">
        <v>#N/A</v>
      </c>
      <c r="T16" vm="97">
        <v>-2.2999999999999998</v>
      </c>
      <c r="U16" t="e">
        <v>#N/A</v>
      </c>
      <c r="V16" t="e">
        <v>#N/A</v>
      </c>
    </row>
    <row r="17" spans="10:22" x14ac:dyDescent="0.4">
      <c r="J17" t="s" vm="95">
        <v>30</v>
      </c>
      <c r="K17" vm="94">
        <v>28.3</v>
      </c>
      <c r="L17" vm="96">
        <v>-16.5</v>
      </c>
      <c r="N17" t="s" vm="95">
        <v>30</v>
      </c>
      <c r="O17" vm="94">
        <v>28.3</v>
      </c>
      <c r="P17" t="e">
        <v>#N/A</v>
      </c>
      <c r="Q17" t="e">
        <v>#N/A</v>
      </c>
      <c r="R17" t="e">
        <v>#N/A</v>
      </c>
      <c r="S17" vm="93">
        <v>-16.5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90">
        <v>21.2</v>
      </c>
      <c r="L18" vm="92">
        <v>-1.6</v>
      </c>
      <c r="N18" t="s" vm="91">
        <v>29</v>
      </c>
      <c r="O18" vm="90">
        <v>21.2</v>
      </c>
      <c r="P18" t="e">
        <v>#N/A</v>
      </c>
      <c r="Q18" t="e">
        <v>#N/A</v>
      </c>
      <c r="R18" t="e">
        <v>#N/A</v>
      </c>
      <c r="S18" t="e">
        <v>#N/A</v>
      </c>
      <c r="T18" vm="89">
        <v>-1.6</v>
      </c>
      <c r="U18" t="e">
        <v>#N/A</v>
      </c>
      <c r="V18" t="e">
        <v>#N/A</v>
      </c>
    </row>
    <row r="19" spans="10:22" x14ac:dyDescent="0.4">
      <c r="J19" t="s" vm="87">
        <v>28</v>
      </c>
      <c r="K19" vm="86">
        <v>53.7</v>
      </c>
      <c r="L19" vm="88">
        <v>7.3</v>
      </c>
      <c r="N19" t="s" vm="87">
        <v>28</v>
      </c>
      <c r="O19" vm="86">
        <v>53.7</v>
      </c>
      <c r="P19" t="e">
        <v>#N/A</v>
      </c>
      <c r="Q19" vm="85">
        <v>7.3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82">
        <v>47.1</v>
      </c>
      <c r="L20" vm="84">
        <v>-3.3</v>
      </c>
      <c r="N20" t="s" vm="83">
        <v>27</v>
      </c>
      <c r="O20" vm="82">
        <v>47.1</v>
      </c>
      <c r="P20" t="e">
        <v>#N/A</v>
      </c>
      <c r="Q20" t="e">
        <v>#N/A</v>
      </c>
      <c r="R20" vm="81">
        <v>-3.3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78">
        <v>41.8</v>
      </c>
      <c r="L21" vm="80">
        <v>7.9</v>
      </c>
      <c r="N21" t="s" vm="79">
        <v>26</v>
      </c>
      <c r="O21" vm="78">
        <v>41.8</v>
      </c>
      <c r="P21" t="e">
        <v>#N/A</v>
      </c>
      <c r="Q21" t="e">
        <v>#N/A</v>
      </c>
      <c r="R21" vm="77">
        <v>7.9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74">
        <v>15.1</v>
      </c>
      <c r="L22" vm="76">
        <v>-0.9</v>
      </c>
      <c r="N22" t="s" vm="75">
        <v>25</v>
      </c>
      <c r="O22" vm="74">
        <v>15.1</v>
      </c>
      <c r="P22" t="e">
        <v>#N/A</v>
      </c>
      <c r="Q22" t="e">
        <v>#N/A</v>
      </c>
      <c r="R22" t="e">
        <v>#N/A</v>
      </c>
      <c r="S22" t="e">
        <v>#N/A</v>
      </c>
      <c r="T22" vm="73">
        <v>-0.9</v>
      </c>
      <c r="U22" t="e">
        <v>#N/A</v>
      </c>
      <c r="V22" t="e">
        <v>#N/A</v>
      </c>
    </row>
    <row r="23" spans="10:22" x14ac:dyDescent="0.4">
      <c r="J23" t="s" vm="71">
        <v>24</v>
      </c>
      <c r="K23" vm="70">
        <v>34.1</v>
      </c>
      <c r="L23" vm="72">
        <v>3.7</v>
      </c>
      <c r="N23" t="s" vm="71">
        <v>24</v>
      </c>
      <c r="O23" vm="70">
        <v>34.1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69">
        <v>3.7</v>
      </c>
      <c r="V23" t="e">
        <v>#N/A</v>
      </c>
    </row>
    <row r="24" spans="10:22" x14ac:dyDescent="0.4">
      <c r="J24" t="s" vm="67">
        <v>23</v>
      </c>
      <c r="K24" vm="66">
        <v>51.8</v>
      </c>
      <c r="L24" vm="68">
        <v>0.4</v>
      </c>
      <c r="N24" t="s" vm="67">
        <v>23</v>
      </c>
      <c r="O24" vm="66">
        <v>51.8</v>
      </c>
      <c r="P24" t="e">
        <v>#N/A</v>
      </c>
      <c r="Q24" t="e">
        <v>#N/A</v>
      </c>
      <c r="R24" vm="65">
        <v>0.4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62">
        <v>49.2</v>
      </c>
      <c r="L25" vm="64">
        <v>0.8</v>
      </c>
      <c r="N25" t="s" vm="63">
        <v>22</v>
      </c>
      <c r="O25" vm="62">
        <v>49.2</v>
      </c>
      <c r="P25" t="e">
        <v>#N/A</v>
      </c>
      <c r="Q25" t="e">
        <v>#N/A</v>
      </c>
      <c r="R25" vm="61">
        <v>0.8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58">
        <v>23.3</v>
      </c>
      <c r="L26" vm="60">
        <v>-3.6</v>
      </c>
      <c r="N26" t="s" vm="59">
        <v>21</v>
      </c>
      <c r="O26" vm="58">
        <v>23.3</v>
      </c>
      <c r="P26" t="e">
        <v>#N/A</v>
      </c>
      <c r="Q26" t="e">
        <v>#N/A</v>
      </c>
      <c r="R26" t="e">
        <v>#N/A</v>
      </c>
      <c r="S26" vm="57">
        <v>-3.6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54">
        <v>62.2</v>
      </c>
      <c r="L27" vm="56">
        <v>7.4</v>
      </c>
      <c r="N27" t="s" vm="55">
        <v>20</v>
      </c>
      <c r="O27" vm="54">
        <v>62.2</v>
      </c>
      <c r="P27" t="e">
        <v>#N/A</v>
      </c>
      <c r="Q27" vm="53">
        <v>7.4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50">
        <v>48.3</v>
      </c>
      <c r="L28" vm="52">
        <v>2.2999999999999998</v>
      </c>
      <c r="N28" t="s" vm="51">
        <v>19</v>
      </c>
      <c r="O28" vm="50">
        <v>48.3</v>
      </c>
      <c r="P28" t="e">
        <v>#N/A</v>
      </c>
      <c r="Q28" t="e">
        <v>#N/A</v>
      </c>
      <c r="R28" vm="49">
        <v>2.2999999999999998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6">
        <v>29</v>
      </c>
      <c r="L29" vm="48">
        <v>-4.9000000000000004</v>
      </c>
      <c r="N29" t="s" vm="47">
        <v>18</v>
      </c>
      <c r="O29" vm="46">
        <v>29</v>
      </c>
      <c r="P29" t="e">
        <v>#N/A</v>
      </c>
      <c r="Q29" t="e">
        <v>#N/A</v>
      </c>
      <c r="R29" t="e">
        <v>#N/A</v>
      </c>
      <c r="S29" vm="45">
        <v>-4.9000000000000004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42">
        <v>27.4</v>
      </c>
      <c r="L30" vm="44">
        <v>2.4</v>
      </c>
      <c r="N30" t="s" vm="43">
        <v>17</v>
      </c>
      <c r="O30" vm="42">
        <v>27.4</v>
      </c>
      <c r="P30" t="e">
        <v>#N/A</v>
      </c>
      <c r="Q30" t="e">
        <v>#N/A</v>
      </c>
      <c r="R30" t="e">
        <v>#N/A</v>
      </c>
      <c r="S30" vm="41">
        <v>2.4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8">
        <v>45.2</v>
      </c>
      <c r="L31" vm="40">
        <v>2.6</v>
      </c>
      <c r="N31" t="s" vm="39">
        <v>16</v>
      </c>
      <c r="O31" vm="38">
        <v>45.2</v>
      </c>
      <c r="P31" t="e">
        <v>#N/A</v>
      </c>
      <c r="Q31" t="e">
        <v>#N/A</v>
      </c>
      <c r="R31" vm="37">
        <v>2.6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34">
        <v>34.1</v>
      </c>
      <c r="L32" vm="36">
        <v>-4.9000000000000004</v>
      </c>
      <c r="N32" t="s" vm="35">
        <v>15</v>
      </c>
      <c r="O32" vm="34">
        <v>34.1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33">
        <v>-4.9000000000000004</v>
      </c>
      <c r="V32" t="e">
        <v>#N/A</v>
      </c>
    </row>
    <row r="33" spans="10:22" x14ac:dyDescent="0.4">
      <c r="J33" t="s" vm="31">
        <v>14</v>
      </c>
      <c r="K33" vm="30">
        <v>39.9</v>
      </c>
      <c r="L33" vm="32">
        <v>7.1</v>
      </c>
      <c r="N33" t="s" vm="31">
        <v>14</v>
      </c>
      <c r="O33" vm="30">
        <v>39.9</v>
      </c>
      <c r="P33" t="e">
        <v>#N/A</v>
      </c>
      <c r="Q33" t="e">
        <v>#N/A</v>
      </c>
      <c r="R33" vm="29">
        <v>7.1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26">
        <v>56.1</v>
      </c>
      <c r="L34" vm="28">
        <v>-1</v>
      </c>
      <c r="N34" t="s" vm="27">
        <v>13</v>
      </c>
      <c r="O34" vm="26">
        <v>56.1</v>
      </c>
      <c r="P34" t="e">
        <v>#N/A</v>
      </c>
      <c r="Q34" vm="25">
        <v>-1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22">
        <v>20.3</v>
      </c>
      <c r="L35" vm="24">
        <v>-0.6</v>
      </c>
      <c r="N35" t="s" vm="23">
        <v>12</v>
      </c>
      <c r="O35" vm="22">
        <v>20.3</v>
      </c>
      <c r="P35" t="e">
        <v>#N/A</v>
      </c>
      <c r="Q35" t="e">
        <v>#N/A</v>
      </c>
      <c r="R35" t="e">
        <v>#N/A</v>
      </c>
      <c r="S35" t="e">
        <v>#N/A</v>
      </c>
      <c r="T35" vm="21">
        <v>-0.6</v>
      </c>
      <c r="U35" t="e">
        <v>#N/A</v>
      </c>
      <c r="V35" t="e">
        <v>#N/A</v>
      </c>
    </row>
    <row r="36" spans="10:22" x14ac:dyDescent="0.4">
      <c r="J36" t="s" vm="19">
        <v>11</v>
      </c>
      <c r="K36" vm="18">
        <v>33.4</v>
      </c>
      <c r="L36" vm="20">
        <v>-4.5999999999999996</v>
      </c>
      <c r="N36" t="s" vm="19">
        <v>11</v>
      </c>
      <c r="O36" vm="18">
        <v>33.4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17">
        <v>-4.5999999999999996</v>
      </c>
      <c r="V36" t="e">
        <v>#N/A</v>
      </c>
    </row>
    <row r="37" spans="10:22" x14ac:dyDescent="0.4">
      <c r="J37" t="s" vm="15">
        <v>10</v>
      </c>
      <c r="K37" vm="14">
        <v>19.100000000000001</v>
      </c>
      <c r="L37" vm="16">
        <v>13.3</v>
      </c>
      <c r="N37" t="s" vm="15">
        <v>10</v>
      </c>
      <c r="O37" vm="14">
        <v>19.100000000000001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13">
        <v>13.3</v>
      </c>
    </row>
    <row r="38" spans="10:22" x14ac:dyDescent="0.4">
      <c r="J38" t="s" vm="11">
        <v>9</v>
      </c>
      <c r="K38" vm="10">
        <v>66.5</v>
      </c>
      <c r="L38" vm="12">
        <v>7.7</v>
      </c>
      <c r="N38" t="s" vm="11">
        <v>9</v>
      </c>
      <c r="O38" vm="10">
        <v>66.5</v>
      </c>
      <c r="P38" t="e">
        <v>#N/A</v>
      </c>
      <c r="Q38" vm="9">
        <v>7.7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6">
        <v>26.5</v>
      </c>
      <c r="L39" vm="8">
        <v>-13.8</v>
      </c>
      <c r="N39" t="s" vm="7">
        <v>8</v>
      </c>
      <c r="O39" vm="6">
        <v>26.5</v>
      </c>
      <c r="P39" t="e">
        <v>#N/A</v>
      </c>
      <c r="Q39" t="e">
        <v>#N/A</v>
      </c>
      <c r="R39" t="e">
        <v>#N/A</v>
      </c>
      <c r="S39" vm="5">
        <v>-13.8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">
        <v>49.5</v>
      </c>
      <c r="L40" vm="4">
        <v>6.9</v>
      </c>
      <c r="N40" t="s" vm="3">
        <v>7</v>
      </c>
      <c r="O40" vm="2">
        <v>49.5</v>
      </c>
      <c r="P40" t="e">
        <v>#N/A</v>
      </c>
      <c r="Q40" t="e">
        <v>#N/A</v>
      </c>
      <c r="R40" vm="1">
        <v>6.9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9.5</v>
      </c>
      <c r="L43" s="1">
        <v>-16.5</v>
      </c>
    </row>
    <row r="44" spans="10:22" x14ac:dyDescent="0.4">
      <c r="J44" t="s">
        <v>5</v>
      </c>
      <c r="K44" s="1">
        <v>66.5</v>
      </c>
      <c r="L44" s="1">
        <v>13.3</v>
      </c>
    </row>
    <row r="45" spans="10:22" x14ac:dyDescent="0.4">
      <c r="J45" t="s">
        <v>4</v>
      </c>
      <c r="K45" s="1">
        <v>37.766666666666666</v>
      </c>
      <c r="L45" s="2">
        <v>0.15555555555555559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9.5</v>
      </c>
      <c r="L48">
        <v>0.15555555555555559</v>
      </c>
    </row>
    <row r="49" spans="10:12" x14ac:dyDescent="0.4">
      <c r="K49" s="1">
        <v>66.5</v>
      </c>
      <c r="L49" s="2">
        <v>0.15555555555555559</v>
      </c>
    </row>
    <row r="51" spans="10:12" x14ac:dyDescent="0.4">
      <c r="J51" t="s">
        <v>0</v>
      </c>
      <c r="K51" s="2">
        <v>37.766666666666666</v>
      </c>
      <c r="L51" s="1">
        <v>-16.5</v>
      </c>
    </row>
    <row r="52" spans="10:12" x14ac:dyDescent="0.4">
      <c r="K52" s="2">
        <v>37.766666666666666</v>
      </c>
      <c r="L52" s="1">
        <v>13.3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17</xdr:col>
                    <xdr:colOff>495300</xdr:colOff>
                    <xdr:row>47</xdr:row>
                    <xdr:rowOff>32657</xdr:rowOff>
                  </from>
                  <to>
                    <xdr:col>21</xdr:col>
                    <xdr:colOff>217714</xdr:colOff>
                    <xdr:row>54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9F85-3F6F-4CA1-A51C-CDAC66EE8560}">
  <sheetPr codeName="Sheet4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99">
        <f>K6</f>
        <v>2023</v>
      </c>
      <c r="C5" s="34"/>
      <c r="D5" s="34"/>
      <c r="E5" s="34"/>
      <c r="F5" s="34"/>
      <c r="G5" s="35"/>
      <c r="J5" t="s">
        <v>49</v>
      </c>
      <c r="K5" t="s" vm="200">
        <v>53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9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51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50</v>
      </c>
    </row>
    <row r="10" spans="2:22" ht="16.75" thickTop="1" thickBot="1" x14ac:dyDescent="0.45">
      <c r="B10" s="14" t="s">
        <v>97</v>
      </c>
      <c r="C10" s="15" t="s">
        <v>12</v>
      </c>
      <c r="D10" s="16"/>
      <c r="E10" s="17" t="s">
        <v>127</v>
      </c>
      <c r="F10" s="16"/>
      <c r="G10" s="18"/>
    </row>
    <row r="11" spans="2:22" ht="16.3" thickBot="1" x14ac:dyDescent="0.45">
      <c r="B11" s="19" t="s">
        <v>98</v>
      </c>
      <c r="C11" s="20" t="s">
        <v>7</v>
      </c>
      <c r="D11" s="21"/>
      <c r="E11" s="21" t="s">
        <v>128</v>
      </c>
      <c r="F11" s="22" t="s">
        <v>13</v>
      </c>
      <c r="G11" s="23" t="s">
        <v>129</v>
      </c>
    </row>
    <row r="12" spans="2:22" ht="16.3" thickBot="1" x14ac:dyDescent="0.45">
      <c r="B12" s="19" t="s">
        <v>94</v>
      </c>
      <c r="C12" s="20" t="s">
        <v>130</v>
      </c>
      <c r="D12" s="24"/>
      <c r="E12" s="24" t="s">
        <v>131</v>
      </c>
      <c r="F12" s="24" t="s">
        <v>15</v>
      </c>
      <c r="G12" s="25" t="s">
        <v>132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/>
      <c r="E13" s="28" t="s">
        <v>133</v>
      </c>
      <c r="F13" s="28"/>
      <c r="G13" s="25" t="s">
        <v>30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20</v>
      </c>
      <c r="E14" s="31" t="s">
        <v>134</v>
      </c>
      <c r="F14" s="31" t="s">
        <v>10</v>
      </c>
      <c r="G14" s="32"/>
      <c r="J14" t="s" vm="107">
        <v>33</v>
      </c>
      <c r="K14" vm="197">
        <v>8.6</v>
      </c>
      <c r="L14" vm="198">
        <v>0.2</v>
      </c>
      <c r="N14" t="s" vm="107">
        <v>33</v>
      </c>
      <c r="O14" vm="197">
        <v>8.6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96">
        <v>0.2</v>
      </c>
      <c r="V14" t="e">
        <v>#N/A</v>
      </c>
    </row>
    <row r="15" spans="2:22" ht="15" thickTop="1" x14ac:dyDescent="0.4">
      <c r="J15" t="s" vm="103">
        <v>32</v>
      </c>
      <c r="K15" vm="194">
        <v>6.2</v>
      </c>
      <c r="L15" vm="195">
        <v>-0.2</v>
      </c>
      <c r="N15" t="s" vm="103">
        <v>32</v>
      </c>
      <c r="O15" vm="194">
        <v>6.2</v>
      </c>
      <c r="P15" t="e">
        <v>#N/A</v>
      </c>
      <c r="Q15" t="e">
        <v>#N/A</v>
      </c>
      <c r="R15" vm="193">
        <v>-0.2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91">
        <v>9.3000000000000007</v>
      </c>
      <c r="L16" vm="192">
        <v>-1</v>
      </c>
      <c r="N16" t="s" vm="99">
        <v>31</v>
      </c>
      <c r="O16" vm="191">
        <v>9.3000000000000007</v>
      </c>
      <c r="P16" t="e">
        <v>#N/A</v>
      </c>
      <c r="Q16" t="e">
        <v>#N/A</v>
      </c>
      <c r="R16" vm="190">
        <v>-1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88">
        <v>10.4</v>
      </c>
      <c r="L17" vm="189">
        <v>2.2999999999999998</v>
      </c>
      <c r="N17" t="s" vm="95">
        <v>30</v>
      </c>
      <c r="O17" vm="188">
        <v>10.4</v>
      </c>
      <c r="P17" t="e">
        <v>#N/A</v>
      </c>
      <c r="Q17" t="e">
        <v>#N/A</v>
      </c>
      <c r="R17" t="e">
        <v>#N/A</v>
      </c>
      <c r="S17" vm="187">
        <v>2.2999999999999998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85">
        <v>6.4</v>
      </c>
      <c r="L18" vm="186">
        <v>0.2</v>
      </c>
      <c r="N18" t="s" vm="91">
        <v>29</v>
      </c>
      <c r="O18" vm="185">
        <v>6.4</v>
      </c>
      <c r="P18" t="e">
        <v>#N/A</v>
      </c>
      <c r="Q18" t="e">
        <v>#N/A</v>
      </c>
      <c r="R18" vm="184">
        <v>0.2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82">
        <v>12.8</v>
      </c>
      <c r="L19" vm="183">
        <v>0.1</v>
      </c>
      <c r="N19" t="s" vm="87">
        <v>28</v>
      </c>
      <c r="O19" vm="182">
        <v>12.8</v>
      </c>
      <c r="P19" t="e">
        <v>#N/A</v>
      </c>
      <c r="Q19" t="e">
        <v>#N/A</v>
      </c>
      <c r="R19" t="e">
        <v>#N/A</v>
      </c>
      <c r="S19" t="e">
        <v>#N/A</v>
      </c>
      <c r="T19" vm="181">
        <v>0.1</v>
      </c>
      <c r="U19" t="e">
        <v>#N/A</v>
      </c>
      <c r="V19" t="e">
        <v>#N/A</v>
      </c>
    </row>
    <row r="20" spans="10:22" x14ac:dyDescent="0.4">
      <c r="J20" t="s" vm="83">
        <v>27</v>
      </c>
      <c r="K20" vm="179">
        <v>10.4</v>
      </c>
      <c r="L20" vm="180">
        <v>0.4</v>
      </c>
      <c r="N20" t="s" vm="83">
        <v>27</v>
      </c>
      <c r="O20" vm="179">
        <v>10.4</v>
      </c>
      <c r="P20" t="e">
        <v>#N/A</v>
      </c>
      <c r="Q20" t="e">
        <v>#N/A</v>
      </c>
      <c r="R20" t="e">
        <v>#N/A</v>
      </c>
      <c r="S20" vm="178">
        <v>0.4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76">
        <v>9.6999999999999993</v>
      </c>
      <c r="L21" vm="177">
        <v>-1.1000000000000001</v>
      </c>
      <c r="N21" t="s" vm="79">
        <v>26</v>
      </c>
      <c r="O21" vm="176">
        <v>9.6999999999999993</v>
      </c>
      <c r="P21" t="e">
        <v>#N/A</v>
      </c>
      <c r="Q21" t="e">
        <v>#N/A</v>
      </c>
      <c r="R21" vm="175">
        <v>-1.1000000000000001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73">
        <v>3.7</v>
      </c>
      <c r="L22" vm="174">
        <v>-0.4</v>
      </c>
      <c r="N22" t="s" vm="75">
        <v>25</v>
      </c>
      <c r="O22" vm="173">
        <v>3.7</v>
      </c>
      <c r="P22" t="e">
        <v>#N/A</v>
      </c>
      <c r="Q22" vm="172">
        <v>-0.4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170">
        <v>13.7</v>
      </c>
      <c r="L23" vm="171">
        <v>-0.2</v>
      </c>
      <c r="N23" t="s" vm="71">
        <v>24</v>
      </c>
      <c r="O23" vm="170">
        <v>13.7</v>
      </c>
      <c r="P23" t="e">
        <v>#N/A</v>
      </c>
      <c r="Q23" t="e">
        <v>#N/A</v>
      </c>
      <c r="R23" t="e">
        <v>#N/A</v>
      </c>
      <c r="S23" t="e">
        <v>#N/A</v>
      </c>
      <c r="T23" vm="169">
        <v>-0.2</v>
      </c>
      <c r="U23" t="e">
        <v>#N/A</v>
      </c>
      <c r="V23" t="e">
        <v>#N/A</v>
      </c>
    </row>
    <row r="24" spans="10:22" x14ac:dyDescent="0.4">
      <c r="J24" t="s" vm="67">
        <v>23</v>
      </c>
      <c r="K24" vm="167">
        <v>9.6</v>
      </c>
      <c r="L24" vm="168">
        <v>1.2</v>
      </c>
      <c r="N24" t="s" vm="67">
        <v>23</v>
      </c>
      <c r="O24" vm="167">
        <v>9.6</v>
      </c>
      <c r="P24" t="e">
        <v>#N/A</v>
      </c>
      <c r="Q24" t="e">
        <v>#N/A</v>
      </c>
      <c r="R24" t="e">
        <v>#N/A</v>
      </c>
      <c r="S24" vm="166">
        <v>1.2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64">
        <v>7.6</v>
      </c>
      <c r="L25" vm="165">
        <v>0</v>
      </c>
      <c r="N25" t="s" vm="63">
        <v>22</v>
      </c>
      <c r="O25" vm="164">
        <v>7.6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63">
        <v>0</v>
      </c>
      <c r="V25" t="e">
        <v>#N/A</v>
      </c>
    </row>
    <row r="26" spans="10:22" x14ac:dyDescent="0.4">
      <c r="J26" t="s" vm="59">
        <v>21</v>
      </c>
      <c r="K26" vm="161">
        <v>2</v>
      </c>
      <c r="L26" vm="162">
        <v>-0.1</v>
      </c>
      <c r="N26" t="s" vm="59">
        <v>21</v>
      </c>
      <c r="O26" vm="161">
        <v>2</v>
      </c>
      <c r="P26" t="e">
        <v>#N/A</v>
      </c>
      <c r="Q26" vm="160">
        <v>-0.1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58">
        <v>11.6</v>
      </c>
      <c r="L27" vm="159">
        <v>-0.8</v>
      </c>
      <c r="N27" t="s" vm="55">
        <v>20</v>
      </c>
      <c r="O27" vm="158">
        <v>11.6</v>
      </c>
      <c r="P27" t="e">
        <v>#N/A</v>
      </c>
      <c r="Q27" t="e">
        <v>#N/A</v>
      </c>
      <c r="R27" t="e">
        <v>#N/A</v>
      </c>
      <c r="S27" t="e">
        <v>#N/A</v>
      </c>
      <c r="T27" vm="157">
        <v>-0.8</v>
      </c>
      <c r="U27" t="e">
        <v>#N/A</v>
      </c>
      <c r="V27" t="e">
        <v>#N/A</v>
      </c>
    </row>
    <row r="28" spans="10:22" x14ac:dyDescent="0.4">
      <c r="J28" t="s" vm="51">
        <v>19</v>
      </c>
      <c r="K28" vm="155">
        <v>4</v>
      </c>
      <c r="L28" vm="156">
        <v>0.3</v>
      </c>
      <c r="N28" t="s" vm="51">
        <v>19</v>
      </c>
      <c r="O28" vm="155">
        <v>4</v>
      </c>
      <c r="P28" t="e">
        <v>#N/A</v>
      </c>
      <c r="Q28" vm="154">
        <v>0.3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52">
        <v>10.5</v>
      </c>
      <c r="L29" vm="153">
        <v>-1</v>
      </c>
      <c r="N29" t="s" vm="47">
        <v>18</v>
      </c>
      <c r="O29" vm="152">
        <v>10.5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151">
        <v>-1</v>
      </c>
    </row>
    <row r="30" spans="10:22" x14ac:dyDescent="0.4">
      <c r="J30" t="s" vm="43">
        <v>17</v>
      </c>
      <c r="K30" vm="149">
        <v>6.4</v>
      </c>
      <c r="L30" vm="150">
        <v>1.6</v>
      </c>
      <c r="N30" t="s" vm="43">
        <v>17</v>
      </c>
      <c r="O30" vm="149">
        <v>6.4</v>
      </c>
      <c r="P30" vm="148">
        <v>1.6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46">
        <v>6.8</v>
      </c>
      <c r="L31" vm="147">
        <v>-1.4</v>
      </c>
      <c r="N31" t="s" vm="39">
        <v>16</v>
      </c>
      <c r="O31" vm="146">
        <v>6.8</v>
      </c>
      <c r="P31" t="e">
        <v>#N/A</v>
      </c>
      <c r="Q31" t="e">
        <v>#N/A</v>
      </c>
      <c r="R31" vm="145">
        <v>-1.4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43">
        <v>7.7</v>
      </c>
      <c r="L32" vm="144">
        <v>1</v>
      </c>
      <c r="N32" t="s" vm="35">
        <v>15</v>
      </c>
      <c r="O32" vm="143">
        <v>7.7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42">
        <v>1</v>
      </c>
      <c r="V32" t="e">
        <v>#N/A</v>
      </c>
    </row>
    <row r="33" spans="10:22" x14ac:dyDescent="0.4">
      <c r="J33" t="s" vm="31">
        <v>14</v>
      </c>
      <c r="K33" vm="140">
        <v>10.199999999999999</v>
      </c>
      <c r="L33" vm="141">
        <v>-0.1</v>
      </c>
      <c r="N33" t="s" vm="31">
        <v>14</v>
      </c>
      <c r="O33" vm="140">
        <v>10.199999999999999</v>
      </c>
      <c r="P33" t="e">
        <v>#N/A</v>
      </c>
      <c r="Q33" t="e">
        <v>#N/A</v>
      </c>
      <c r="R33" t="e">
        <v>#N/A</v>
      </c>
      <c r="S33" vm="139">
        <v>-0.1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37">
        <v>6.2</v>
      </c>
      <c r="L34" vm="138">
        <v>0.6</v>
      </c>
      <c r="N34" t="s" vm="27">
        <v>13</v>
      </c>
      <c r="O34" vm="137">
        <v>6.2</v>
      </c>
      <c r="P34" t="e">
        <v>#N/A</v>
      </c>
      <c r="Q34" t="e">
        <v>#N/A</v>
      </c>
      <c r="R34" vm="136">
        <v>0.6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34">
        <v>3.7</v>
      </c>
      <c r="L35" vm="135">
        <v>-1</v>
      </c>
      <c r="N35" t="s" vm="23">
        <v>12</v>
      </c>
      <c r="O35" vm="134">
        <v>3.7</v>
      </c>
      <c r="P35" t="e">
        <v>#N/A</v>
      </c>
      <c r="Q35" vm="133">
        <v>-1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131">
        <v>8.1</v>
      </c>
      <c r="L36" vm="132">
        <v>1.8</v>
      </c>
      <c r="N36" t="s" vm="19">
        <v>11</v>
      </c>
      <c r="O36" vm="131">
        <v>8.1</v>
      </c>
      <c r="P36" t="e">
        <v>#N/A</v>
      </c>
      <c r="Q36" t="e">
        <v>#N/A</v>
      </c>
      <c r="R36" t="e">
        <v>#N/A</v>
      </c>
      <c r="S36" vm="130">
        <v>1.8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8">
        <v>16.600000000000001</v>
      </c>
      <c r="L37" vm="129">
        <v>1</v>
      </c>
      <c r="N37" t="s" vm="15">
        <v>10</v>
      </c>
      <c r="O37" vm="128">
        <v>16.600000000000001</v>
      </c>
      <c r="P37" t="e">
        <v>#N/A</v>
      </c>
      <c r="Q37" t="e">
        <v>#N/A</v>
      </c>
      <c r="R37" t="e">
        <v>#N/A</v>
      </c>
      <c r="S37" t="e">
        <v>#N/A</v>
      </c>
      <c r="T37" vm="127">
        <v>1</v>
      </c>
      <c r="U37" t="e">
        <v>#N/A</v>
      </c>
      <c r="V37" t="e">
        <v>#N/A</v>
      </c>
    </row>
    <row r="38" spans="10:22" x14ac:dyDescent="0.4">
      <c r="J38" t="s" vm="11">
        <v>9</v>
      </c>
      <c r="K38" vm="125">
        <v>7.4</v>
      </c>
      <c r="L38" vm="126">
        <v>-1.4</v>
      </c>
      <c r="N38" t="s" vm="11">
        <v>9</v>
      </c>
      <c r="O38" vm="125">
        <v>7.4</v>
      </c>
      <c r="P38" t="e">
        <v>#N/A</v>
      </c>
      <c r="Q38" t="e">
        <v>#N/A</v>
      </c>
      <c r="R38" vm="124">
        <v>-1.4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122">
        <v>5.4</v>
      </c>
      <c r="L39" vm="123">
        <v>1.4</v>
      </c>
      <c r="N39" t="s" vm="7">
        <v>8</v>
      </c>
      <c r="O39" vm="122">
        <v>5.4</v>
      </c>
      <c r="P39" vm="121">
        <v>1.4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9">
        <v>6.4</v>
      </c>
      <c r="L40" vm="120">
        <v>-1</v>
      </c>
      <c r="N40" t="s" vm="3">
        <v>7</v>
      </c>
      <c r="O40" vm="119">
        <v>6.4</v>
      </c>
      <c r="P40" t="e">
        <v>#N/A</v>
      </c>
      <c r="Q40" t="e">
        <v>#N/A</v>
      </c>
      <c r="R40" vm="118">
        <v>-1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</v>
      </c>
      <c r="L43" s="1">
        <v>-1.4</v>
      </c>
    </row>
    <row r="44" spans="10:22" x14ac:dyDescent="0.4">
      <c r="J44" t="s">
        <v>5</v>
      </c>
      <c r="K44" s="1">
        <v>16.600000000000001</v>
      </c>
      <c r="L44" s="1">
        <v>2.2999999999999998</v>
      </c>
    </row>
    <row r="45" spans="10:22" x14ac:dyDescent="0.4">
      <c r="J45" t="s">
        <v>4</v>
      </c>
      <c r="K45" s="1">
        <v>8.1999999999999993</v>
      </c>
      <c r="L45" s="2">
        <v>8.8888888888888892E-2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</v>
      </c>
      <c r="L48">
        <v>8.8888888888888892E-2</v>
      </c>
    </row>
    <row r="49" spans="10:12" x14ac:dyDescent="0.4">
      <c r="K49" s="1">
        <v>16.600000000000001</v>
      </c>
      <c r="L49" s="2">
        <v>8.8888888888888892E-2</v>
      </c>
    </row>
    <row r="51" spans="10:12" x14ac:dyDescent="0.4">
      <c r="J51" t="s">
        <v>0</v>
      </c>
      <c r="K51" s="2">
        <v>8.1999999999999993</v>
      </c>
      <c r="L51" s="1">
        <v>-1.4</v>
      </c>
    </row>
    <row r="52" spans="10:12" x14ac:dyDescent="0.4">
      <c r="K52" s="2">
        <v>8.1999999999999993</v>
      </c>
      <c r="L52" s="1">
        <v>2.2999999999999998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17</xdr:col>
                    <xdr:colOff>489857</xdr:colOff>
                    <xdr:row>44</xdr:row>
                    <xdr:rowOff>157843</xdr:rowOff>
                  </from>
                  <to>
                    <xdr:col>21</xdr:col>
                    <xdr:colOff>195943</xdr:colOff>
                    <xdr:row>51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4C40-25EE-495B-BE98-F52A88C92AF1}">
  <sheetPr codeName="Sheet5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282">
        <f>K6</f>
        <v>2023</v>
      </c>
      <c r="C5" s="34"/>
      <c r="D5" s="34"/>
      <c r="E5" s="34"/>
      <c r="F5" s="34"/>
      <c r="G5" s="35"/>
      <c r="J5" t="s">
        <v>49</v>
      </c>
      <c r="K5" t="s" vm="283">
        <v>56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282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55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54</v>
      </c>
    </row>
    <row r="10" spans="2:22" ht="16.75" thickTop="1" thickBot="1" x14ac:dyDescent="0.45">
      <c r="B10" s="14" t="s">
        <v>97</v>
      </c>
      <c r="C10" s="15"/>
      <c r="D10" s="16" t="s">
        <v>13</v>
      </c>
      <c r="E10" s="17" t="s">
        <v>148</v>
      </c>
      <c r="F10" s="16"/>
      <c r="G10" s="18"/>
    </row>
    <row r="11" spans="2:22" ht="16.3" thickBot="1" x14ac:dyDescent="0.45">
      <c r="B11" s="19" t="s">
        <v>98</v>
      </c>
      <c r="C11" s="20" t="s">
        <v>29</v>
      </c>
      <c r="D11" s="21"/>
      <c r="E11" s="21" t="s">
        <v>193</v>
      </c>
      <c r="F11" s="22"/>
      <c r="G11" s="23"/>
    </row>
    <row r="12" spans="2:22" ht="16.3" thickBot="1" x14ac:dyDescent="0.45">
      <c r="B12" s="19" t="s">
        <v>94</v>
      </c>
      <c r="C12" s="20" t="s">
        <v>194</v>
      </c>
      <c r="D12" s="24" t="s">
        <v>195</v>
      </c>
      <c r="E12" s="24" t="s">
        <v>196</v>
      </c>
      <c r="F12" s="24" t="s">
        <v>22</v>
      </c>
      <c r="G12" s="25" t="s">
        <v>197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18</v>
      </c>
      <c r="F13" s="28" t="s">
        <v>30</v>
      </c>
      <c r="G13" s="25" t="s">
        <v>198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31</v>
      </c>
      <c r="E14" s="31" t="s">
        <v>199</v>
      </c>
      <c r="F14" s="31"/>
      <c r="G14" s="32"/>
      <c r="J14" t="s" vm="107">
        <v>33</v>
      </c>
      <c r="K14" vm="280">
        <v>64.680000000000007</v>
      </c>
      <c r="L14" vm="281">
        <v>1.35</v>
      </c>
      <c r="N14" t="s" vm="107">
        <v>33</v>
      </c>
      <c r="O14" vm="280">
        <v>64.680000000000007</v>
      </c>
      <c r="P14" t="e">
        <v>#N/A</v>
      </c>
      <c r="Q14" t="e">
        <v>#N/A</v>
      </c>
      <c r="R14" vm="279">
        <v>1.35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277">
        <v>59.39</v>
      </c>
      <c r="L15" vm="278">
        <v>5.16</v>
      </c>
      <c r="N15" t="s" vm="103">
        <v>32</v>
      </c>
      <c r="O15" vm="277">
        <v>59.39</v>
      </c>
      <c r="P15" t="e">
        <v>#N/A</v>
      </c>
      <c r="Q15" t="e">
        <v>#N/A</v>
      </c>
      <c r="R15" vm="276">
        <v>5.16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274">
        <v>35.520000000000003</v>
      </c>
      <c r="L16" vm="275">
        <v>4.34</v>
      </c>
      <c r="N16" t="s" vm="99">
        <v>31</v>
      </c>
      <c r="O16" vm="274">
        <v>35.520000000000003</v>
      </c>
      <c r="P16" t="e">
        <v>#N/A</v>
      </c>
      <c r="Q16" t="e">
        <v>#N/A</v>
      </c>
      <c r="R16" t="e">
        <v>#N/A</v>
      </c>
      <c r="S16" t="e">
        <v>#N/A</v>
      </c>
      <c r="T16" vm="273">
        <v>4.34</v>
      </c>
      <c r="U16" t="e">
        <v>#N/A</v>
      </c>
      <c r="V16" t="e">
        <v>#N/A</v>
      </c>
    </row>
    <row r="17" spans="10:22" x14ac:dyDescent="0.4">
      <c r="J17" t="s" vm="95">
        <v>30</v>
      </c>
      <c r="K17" vm="271">
        <v>49.46</v>
      </c>
      <c r="L17" vm="272">
        <v>-0.75</v>
      </c>
      <c r="N17" t="s" vm="95">
        <v>30</v>
      </c>
      <c r="O17" vm="271">
        <v>49.46</v>
      </c>
      <c r="P17" t="e">
        <v>#N/A</v>
      </c>
      <c r="Q17" t="e">
        <v>#N/A</v>
      </c>
      <c r="R17" t="e">
        <v>#N/A</v>
      </c>
      <c r="S17" vm="270">
        <v>-0.75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268">
        <v>69.11</v>
      </c>
      <c r="L18" vm="269">
        <v>9.42</v>
      </c>
      <c r="N18" t="s" vm="91">
        <v>29</v>
      </c>
      <c r="O18" vm="268">
        <v>69.11</v>
      </c>
      <c r="P18" t="e">
        <v>#N/A</v>
      </c>
      <c r="Q18" t="e">
        <v>#N/A</v>
      </c>
      <c r="R18" vm="267">
        <v>9.42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265">
        <v>52.22</v>
      </c>
      <c r="L19" vm="266">
        <v>3.3</v>
      </c>
      <c r="N19" t="s" vm="87">
        <v>28</v>
      </c>
      <c r="O19" vm="265">
        <v>52.22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264">
        <v>3.3</v>
      </c>
      <c r="V19" t="e">
        <v>#N/A</v>
      </c>
    </row>
    <row r="20" spans="10:22" x14ac:dyDescent="0.4">
      <c r="J20" t="s" vm="83">
        <v>27</v>
      </c>
      <c r="K20" vm="262">
        <v>69.62</v>
      </c>
      <c r="L20" vm="263">
        <v>0.97</v>
      </c>
      <c r="N20" t="s" vm="83">
        <v>27</v>
      </c>
      <c r="O20" vm="262">
        <v>69.62</v>
      </c>
      <c r="P20" t="e">
        <v>#N/A</v>
      </c>
      <c r="Q20" t="e">
        <v>#N/A</v>
      </c>
      <c r="R20" vm="261">
        <v>0.97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259">
        <v>62.61</v>
      </c>
      <c r="L21" vm="260">
        <v>6.24</v>
      </c>
      <c r="N21" t="s" vm="79">
        <v>26</v>
      </c>
      <c r="O21" vm="259">
        <v>62.61</v>
      </c>
      <c r="P21" t="e">
        <v>#N/A</v>
      </c>
      <c r="Q21" t="e">
        <v>#N/A</v>
      </c>
      <c r="R21" vm="258">
        <v>6.24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256">
        <v>52.4</v>
      </c>
      <c r="L22" vm="257">
        <v>-0.08</v>
      </c>
      <c r="N22" t="s" vm="75">
        <v>25</v>
      </c>
      <c r="O22" vm="256">
        <v>52.4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255">
        <v>-0.08</v>
      </c>
      <c r="V22" t="e">
        <v>#N/A</v>
      </c>
    </row>
    <row r="23" spans="10:22" x14ac:dyDescent="0.4">
      <c r="J23" t="s" vm="71">
        <v>24</v>
      </c>
      <c r="K23" vm="253">
        <v>66.180000000000007</v>
      </c>
      <c r="L23" vm="254">
        <v>2.02</v>
      </c>
      <c r="N23" t="s" vm="71">
        <v>24</v>
      </c>
      <c r="O23" vm="253">
        <v>66.180000000000007</v>
      </c>
      <c r="P23" t="e">
        <v>#N/A</v>
      </c>
      <c r="Q23" t="e">
        <v>#N/A</v>
      </c>
      <c r="R23" vm="252">
        <v>2.02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250">
        <v>81.99</v>
      </c>
      <c r="L24" vm="251">
        <v>2.81</v>
      </c>
      <c r="N24" t="s" vm="67">
        <v>23</v>
      </c>
      <c r="O24" vm="250">
        <v>81.99</v>
      </c>
      <c r="P24" t="e">
        <v>#N/A</v>
      </c>
      <c r="Q24" vm="249">
        <v>2.81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247">
        <v>59.67</v>
      </c>
      <c r="L25" vm="248">
        <v>-2.29</v>
      </c>
      <c r="N25" t="s" vm="63">
        <v>22</v>
      </c>
      <c r="O25" vm="247">
        <v>59.67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246">
        <v>-2.29</v>
      </c>
      <c r="V25" t="e">
        <v>#N/A</v>
      </c>
    </row>
    <row r="26" spans="10:22" x14ac:dyDescent="0.4">
      <c r="J26" t="s" vm="59">
        <v>21</v>
      </c>
      <c r="K26" vm="244">
        <v>58.95</v>
      </c>
      <c r="L26" vm="245">
        <v>-4.42</v>
      </c>
      <c r="N26" t="s" vm="59">
        <v>21</v>
      </c>
      <c r="O26" vm="244">
        <v>58.95</v>
      </c>
      <c r="P26" t="e">
        <v>#N/A</v>
      </c>
      <c r="Q26" t="e">
        <v>#N/A</v>
      </c>
      <c r="R26" t="e">
        <v>#N/A</v>
      </c>
      <c r="S26" vm="243">
        <v>-4.42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241">
        <v>58.89</v>
      </c>
      <c r="L27" vm="242">
        <v>9.8000000000000007</v>
      </c>
      <c r="N27" t="s" vm="55">
        <v>20</v>
      </c>
      <c r="O27" vm="241">
        <v>58.89</v>
      </c>
      <c r="P27" t="e">
        <v>#N/A</v>
      </c>
      <c r="Q27" t="e">
        <v>#N/A</v>
      </c>
      <c r="R27" vm="240">
        <v>9.8000000000000007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238">
        <v>72.91</v>
      </c>
      <c r="L28" vm="239">
        <v>2.42</v>
      </c>
      <c r="N28" t="s" vm="51">
        <v>19</v>
      </c>
      <c r="O28" vm="238">
        <v>72.91</v>
      </c>
      <c r="P28" t="e">
        <v>#N/A</v>
      </c>
      <c r="Q28" vm="237">
        <v>2.42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235">
        <v>45.75</v>
      </c>
      <c r="L29" vm="236">
        <v>0.15</v>
      </c>
      <c r="N29" t="s" vm="47">
        <v>18</v>
      </c>
      <c r="O29" vm="235">
        <v>45.75</v>
      </c>
      <c r="P29" t="e">
        <v>#N/A</v>
      </c>
      <c r="Q29" t="e">
        <v>#N/A</v>
      </c>
      <c r="R29" t="e">
        <v>#N/A</v>
      </c>
      <c r="S29" vm="234">
        <v>0.15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232">
        <v>52.91</v>
      </c>
      <c r="L30" vm="233">
        <v>4.07</v>
      </c>
      <c r="N30" t="s" vm="43">
        <v>17</v>
      </c>
      <c r="O30" vm="232">
        <v>52.91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231">
        <v>4.07</v>
      </c>
      <c r="V30" t="e">
        <v>#N/A</v>
      </c>
    </row>
    <row r="31" spans="10:22" x14ac:dyDescent="0.4">
      <c r="J31" t="s" vm="39">
        <v>16</v>
      </c>
      <c r="K31" vm="229">
        <v>60.14</v>
      </c>
      <c r="L31" vm="230">
        <v>-3.65</v>
      </c>
      <c r="N31" t="s" vm="39">
        <v>16</v>
      </c>
      <c r="O31" vm="229">
        <v>60.14</v>
      </c>
      <c r="P31" t="e">
        <v>#N/A</v>
      </c>
      <c r="Q31" t="e">
        <v>#N/A</v>
      </c>
      <c r="R31" t="e">
        <v>#N/A</v>
      </c>
      <c r="S31" vm="228">
        <v>-3.65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226">
        <v>45.34</v>
      </c>
      <c r="L32" vm="227">
        <v>-5.46</v>
      </c>
      <c r="N32" t="s" vm="35">
        <v>15</v>
      </c>
      <c r="O32" vm="226">
        <v>45.34</v>
      </c>
      <c r="P32" t="e">
        <v>#N/A</v>
      </c>
      <c r="Q32" t="e">
        <v>#N/A</v>
      </c>
      <c r="R32" t="e">
        <v>#N/A</v>
      </c>
      <c r="S32" vm="225">
        <v>-5.46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223">
        <v>63.02</v>
      </c>
      <c r="L33" vm="224">
        <v>1.79</v>
      </c>
      <c r="N33" t="s" vm="31">
        <v>14</v>
      </c>
      <c r="O33" vm="223">
        <v>63.02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222">
        <v>1.79</v>
      </c>
      <c r="V33" t="e">
        <v>#N/A</v>
      </c>
    </row>
    <row r="34" spans="10:22" x14ac:dyDescent="0.4">
      <c r="J34" t="s" vm="27">
        <v>13</v>
      </c>
      <c r="K34" vm="220">
        <v>82.7</v>
      </c>
      <c r="L34" vm="221">
        <v>3.76</v>
      </c>
      <c r="N34" t="s" vm="27">
        <v>13</v>
      </c>
      <c r="O34" vm="220">
        <v>82.7</v>
      </c>
      <c r="P34" t="e">
        <v>#N/A</v>
      </c>
      <c r="Q34" vm="219">
        <v>3.76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217">
        <v>44.3</v>
      </c>
      <c r="L35" vm="218">
        <v>1.37</v>
      </c>
      <c r="N35" t="s" vm="23">
        <v>12</v>
      </c>
      <c r="O35" vm="217">
        <v>44.3</v>
      </c>
      <c r="P35" t="e">
        <v>#N/A</v>
      </c>
      <c r="Q35" t="e">
        <v>#N/A</v>
      </c>
      <c r="R35" t="e">
        <v>#N/A</v>
      </c>
      <c r="S35" t="e">
        <v>#N/A</v>
      </c>
      <c r="T35" vm="216">
        <v>1.37</v>
      </c>
      <c r="U35" t="e">
        <v>#N/A</v>
      </c>
      <c r="V35" t="e">
        <v>#N/A</v>
      </c>
    </row>
    <row r="36" spans="10:22" x14ac:dyDescent="0.4">
      <c r="J36" t="s" vm="19">
        <v>11</v>
      </c>
      <c r="K36" vm="214">
        <v>55.97</v>
      </c>
      <c r="L36" vm="215">
        <v>0.66</v>
      </c>
      <c r="N36" t="s" vm="19">
        <v>11</v>
      </c>
      <c r="O36" vm="214">
        <v>55.97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213">
        <v>0.66</v>
      </c>
      <c r="V36" t="e">
        <v>#N/A</v>
      </c>
    </row>
    <row r="37" spans="10:22" x14ac:dyDescent="0.4">
      <c r="J37" t="s" vm="15">
        <v>10</v>
      </c>
      <c r="K37" vm="211">
        <v>27.73</v>
      </c>
      <c r="L37" vm="212">
        <v>-0.09</v>
      </c>
      <c r="N37" t="s" vm="15">
        <v>10</v>
      </c>
      <c r="O37" vm="211">
        <v>27.73</v>
      </c>
      <c r="P37" t="e">
        <v>#N/A</v>
      </c>
      <c r="Q37" t="e">
        <v>#N/A</v>
      </c>
      <c r="R37" t="e">
        <v>#N/A</v>
      </c>
      <c r="S37" t="e">
        <v>#N/A</v>
      </c>
      <c r="T37" vm="210">
        <v>-0.09</v>
      </c>
      <c r="U37" t="e">
        <v>#N/A</v>
      </c>
      <c r="V37" t="e">
        <v>#N/A</v>
      </c>
    </row>
    <row r="38" spans="10:22" x14ac:dyDescent="0.4">
      <c r="J38" t="s" vm="11">
        <v>9</v>
      </c>
      <c r="K38" vm="208">
        <v>66.44</v>
      </c>
      <c r="L38" vm="209">
        <v>-0.16</v>
      </c>
      <c r="N38" t="s" vm="11">
        <v>9</v>
      </c>
      <c r="O38" vm="208">
        <v>66.44</v>
      </c>
      <c r="P38" t="e">
        <v>#N/A</v>
      </c>
      <c r="Q38" t="e">
        <v>#N/A</v>
      </c>
      <c r="R38" vm="207">
        <v>-0.16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205">
        <v>46.7</v>
      </c>
      <c r="L39" vm="206">
        <v>-2.97</v>
      </c>
      <c r="N39" t="s" vm="7">
        <v>8</v>
      </c>
      <c r="O39" vm="205">
        <v>46.7</v>
      </c>
      <c r="P39" t="e">
        <v>#N/A</v>
      </c>
      <c r="Q39" t="e">
        <v>#N/A</v>
      </c>
      <c r="R39" t="e">
        <v>#N/A</v>
      </c>
      <c r="S39" vm="204">
        <v>-2.97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02">
        <v>51.31</v>
      </c>
      <c r="L40" vm="203">
        <v>-3.87</v>
      </c>
      <c r="N40" t="s" vm="3">
        <v>7</v>
      </c>
      <c r="O40" vm="202">
        <v>51.31</v>
      </c>
      <c r="P40" t="e">
        <v>#N/A</v>
      </c>
      <c r="Q40" t="e">
        <v>#N/A</v>
      </c>
      <c r="R40" t="e">
        <v>#N/A</v>
      </c>
      <c r="S40" vm="201">
        <v>-3.87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27.73</v>
      </c>
      <c r="L43" s="1">
        <v>-5.46</v>
      </c>
    </row>
    <row r="44" spans="10:22" x14ac:dyDescent="0.4">
      <c r="J44" t="s">
        <v>5</v>
      </c>
      <c r="K44" s="1">
        <v>82.7</v>
      </c>
      <c r="L44" s="1">
        <v>9.8000000000000007</v>
      </c>
    </row>
    <row r="45" spans="10:22" x14ac:dyDescent="0.4">
      <c r="J45" t="s">
        <v>4</v>
      </c>
      <c r="K45" s="1">
        <v>57.626296296296296</v>
      </c>
      <c r="L45" s="2">
        <v>1.3292592592592594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27.73</v>
      </c>
      <c r="L48">
        <v>1.3292592592592594</v>
      </c>
    </row>
    <row r="49" spans="10:12" x14ac:dyDescent="0.4">
      <c r="K49" s="1">
        <v>82.7</v>
      </c>
      <c r="L49" s="2">
        <v>1.3292592592592594</v>
      </c>
    </row>
    <row r="51" spans="10:12" x14ac:dyDescent="0.4">
      <c r="J51" t="s">
        <v>0</v>
      </c>
      <c r="K51" s="2">
        <v>57.626296296296296</v>
      </c>
      <c r="L51" s="1">
        <v>-5.46</v>
      </c>
    </row>
    <row r="52" spans="10:12" x14ac:dyDescent="0.4">
      <c r="K52" s="2">
        <v>57.626296296296296</v>
      </c>
      <c r="L52" s="1">
        <v>9.8000000000000007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17</xdr:col>
                    <xdr:colOff>81643</xdr:colOff>
                    <xdr:row>44</xdr:row>
                    <xdr:rowOff>141514</xdr:rowOff>
                  </from>
                  <to>
                    <xdr:col>20</xdr:col>
                    <xdr:colOff>381000</xdr:colOff>
                    <xdr:row>51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8430-2D86-4C88-AC4A-78B7983588C4}">
  <sheetPr codeName="Sheet6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365">
        <f>K6</f>
        <v>2023</v>
      </c>
      <c r="C5" s="34"/>
      <c r="D5" s="34"/>
      <c r="E5" s="34"/>
      <c r="F5" s="34"/>
      <c r="G5" s="35"/>
      <c r="J5" t="s">
        <v>49</v>
      </c>
      <c r="K5" t="s" vm="366">
        <v>58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365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57</v>
      </c>
    </row>
    <row r="10" spans="2:22" ht="16.75" thickTop="1" thickBot="1" x14ac:dyDescent="0.45">
      <c r="B10" s="14" t="s">
        <v>97</v>
      </c>
      <c r="C10" s="15"/>
      <c r="D10" s="16"/>
      <c r="E10" s="17" t="s">
        <v>9</v>
      </c>
      <c r="F10" s="16" t="s">
        <v>13</v>
      </c>
      <c r="G10" s="18"/>
    </row>
    <row r="11" spans="2:22" ht="16.3" thickBot="1" x14ac:dyDescent="0.45">
      <c r="B11" s="19" t="s">
        <v>98</v>
      </c>
      <c r="C11" s="20"/>
      <c r="D11" s="21"/>
      <c r="E11" s="21" t="s">
        <v>164</v>
      </c>
      <c r="F11" s="22" t="s">
        <v>165</v>
      </c>
      <c r="G11" s="23" t="s">
        <v>16</v>
      </c>
    </row>
    <row r="12" spans="2:22" ht="16.3" thickBot="1" x14ac:dyDescent="0.45">
      <c r="B12" s="19" t="s">
        <v>94</v>
      </c>
      <c r="C12" s="20" t="s">
        <v>12</v>
      </c>
      <c r="D12" s="24" t="s">
        <v>166</v>
      </c>
      <c r="E12" s="24" t="s">
        <v>167</v>
      </c>
      <c r="F12" s="24" t="s">
        <v>32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31</v>
      </c>
      <c r="E13" s="28" t="s">
        <v>168</v>
      </c>
      <c r="F13" s="28"/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18</v>
      </c>
      <c r="D14" s="31" t="s">
        <v>30</v>
      </c>
      <c r="E14" s="31" t="s">
        <v>10</v>
      </c>
      <c r="F14" s="31" t="s">
        <v>25</v>
      </c>
      <c r="G14" s="32"/>
      <c r="J14" t="s" vm="107">
        <v>33</v>
      </c>
      <c r="K14" vm="363">
        <v>9.4</v>
      </c>
      <c r="L14" vm="364">
        <v>0.3</v>
      </c>
      <c r="N14" t="s" vm="107">
        <v>33</v>
      </c>
      <c r="O14" vm="363">
        <v>9.4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362">
        <v>0.3</v>
      </c>
      <c r="V14" t="e">
        <v>#N/A</v>
      </c>
    </row>
    <row r="15" spans="2:22" ht="15" thickTop="1" x14ac:dyDescent="0.4">
      <c r="J15" t="s" vm="103">
        <v>32</v>
      </c>
      <c r="K15" vm="360">
        <v>9.6</v>
      </c>
      <c r="L15" vm="361">
        <v>0.4</v>
      </c>
      <c r="N15" t="s" vm="103">
        <v>32</v>
      </c>
      <c r="O15" vm="360">
        <v>9.6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359">
        <v>0.4</v>
      </c>
      <c r="V15" t="e">
        <v>#N/A</v>
      </c>
    </row>
    <row r="16" spans="2:22" x14ac:dyDescent="0.4">
      <c r="J16" t="s" vm="99">
        <v>31</v>
      </c>
      <c r="K16" vm="357">
        <v>13.8</v>
      </c>
      <c r="L16" vm="358">
        <v>-1</v>
      </c>
      <c r="N16" t="s" vm="99">
        <v>31</v>
      </c>
      <c r="O16" vm="357">
        <v>13.8</v>
      </c>
      <c r="P16" t="e">
        <v>#N/A</v>
      </c>
      <c r="Q16" t="e">
        <v>#N/A</v>
      </c>
      <c r="R16" t="e">
        <v>#N/A</v>
      </c>
      <c r="S16" vm="356">
        <v>-1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354">
        <v>13.9</v>
      </c>
      <c r="L17" vm="355">
        <v>-0.8</v>
      </c>
      <c r="N17" t="s" vm="95">
        <v>30</v>
      </c>
      <c r="O17" vm="354">
        <v>13.9</v>
      </c>
      <c r="P17" t="e">
        <v>#N/A</v>
      </c>
      <c r="Q17" t="e">
        <v>#N/A</v>
      </c>
      <c r="R17" t="e">
        <v>#N/A</v>
      </c>
      <c r="S17" t="e">
        <v>#N/A</v>
      </c>
      <c r="T17" vm="353">
        <v>-0.8</v>
      </c>
      <c r="U17" t="e">
        <v>#N/A</v>
      </c>
      <c r="V17" t="e">
        <v>#N/A</v>
      </c>
    </row>
    <row r="18" spans="10:22" x14ac:dyDescent="0.4">
      <c r="J18" t="s" vm="91">
        <v>29</v>
      </c>
      <c r="K18" vm="351">
        <v>10.1</v>
      </c>
      <c r="L18" vm="352">
        <v>-1.3</v>
      </c>
      <c r="N18" t="s" vm="91">
        <v>29</v>
      </c>
      <c r="O18" vm="351">
        <v>10.1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350">
        <v>-1.3</v>
      </c>
      <c r="V18" t="e">
        <v>#N/A</v>
      </c>
    </row>
    <row r="19" spans="10:22" x14ac:dyDescent="0.4">
      <c r="J19" t="s" vm="87">
        <v>28</v>
      </c>
      <c r="K19" vm="348">
        <v>8.8000000000000007</v>
      </c>
      <c r="L19" vm="349">
        <v>0</v>
      </c>
      <c r="N19" t="s" vm="87">
        <v>28</v>
      </c>
      <c r="O19" vm="348">
        <v>8.8000000000000007</v>
      </c>
      <c r="P19" t="e">
        <v>#N/A</v>
      </c>
      <c r="Q19" t="e">
        <v>#N/A</v>
      </c>
      <c r="R19" vm="347">
        <v>0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345">
        <v>8.6</v>
      </c>
      <c r="L20" vm="346">
        <v>0.7</v>
      </c>
      <c r="N20" t="s" vm="83">
        <v>27</v>
      </c>
      <c r="O20" vm="345">
        <v>8.6</v>
      </c>
      <c r="P20" t="e">
        <v>#N/A</v>
      </c>
      <c r="Q20" t="e">
        <v>#N/A</v>
      </c>
      <c r="R20" vm="344">
        <v>0.7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342">
        <v>9.6</v>
      </c>
      <c r="L21" vm="343">
        <v>-1</v>
      </c>
      <c r="N21" t="s" vm="79">
        <v>26</v>
      </c>
      <c r="O21" vm="342">
        <v>9.6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341">
        <v>-1</v>
      </c>
      <c r="V21" t="e">
        <v>#N/A</v>
      </c>
    </row>
    <row r="22" spans="10:22" x14ac:dyDescent="0.4">
      <c r="J22" t="s" vm="75">
        <v>25</v>
      </c>
      <c r="K22" vm="339">
        <v>15.9</v>
      </c>
      <c r="L22" vm="340">
        <v>0.6</v>
      </c>
      <c r="N22" t="s" vm="75">
        <v>25</v>
      </c>
      <c r="O22" vm="339">
        <v>15.9</v>
      </c>
      <c r="P22" t="e">
        <v>#N/A</v>
      </c>
      <c r="Q22" t="e">
        <v>#N/A</v>
      </c>
      <c r="R22" t="e">
        <v>#N/A</v>
      </c>
      <c r="S22" t="e">
        <v>#N/A</v>
      </c>
      <c r="T22" vm="338">
        <v>0.6</v>
      </c>
      <c r="U22" t="e">
        <v>#N/A</v>
      </c>
      <c r="V22" t="e">
        <v>#N/A</v>
      </c>
    </row>
    <row r="23" spans="10:22" x14ac:dyDescent="0.4">
      <c r="J23" t="s" vm="71">
        <v>24</v>
      </c>
      <c r="K23" vm="336">
        <v>12.3</v>
      </c>
      <c r="L23" vm="337">
        <v>-0.4</v>
      </c>
      <c r="N23" t="s" vm="71">
        <v>24</v>
      </c>
      <c r="O23" vm="336">
        <v>12.3</v>
      </c>
      <c r="P23" t="e">
        <v>#N/A</v>
      </c>
      <c r="Q23" t="e">
        <v>#N/A</v>
      </c>
      <c r="R23" t="e">
        <v>#N/A</v>
      </c>
      <c r="S23" vm="335">
        <v>-0.4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333">
        <v>9.1999999999999993</v>
      </c>
      <c r="L24" vm="334">
        <v>-0.1</v>
      </c>
      <c r="N24" t="s" vm="67">
        <v>23</v>
      </c>
      <c r="O24" vm="333">
        <v>9.1999999999999993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332">
        <v>-0.1</v>
      </c>
      <c r="V24" t="e">
        <v>#N/A</v>
      </c>
    </row>
    <row r="25" spans="10:22" x14ac:dyDescent="0.4">
      <c r="J25" t="s" vm="63">
        <v>22</v>
      </c>
      <c r="K25" vm="330">
        <v>12.3</v>
      </c>
      <c r="L25" vm="331">
        <v>0.3</v>
      </c>
      <c r="N25" t="s" vm="63">
        <v>22</v>
      </c>
      <c r="O25" vm="330">
        <v>12.3</v>
      </c>
      <c r="P25" t="e">
        <v>#N/A</v>
      </c>
      <c r="Q25" t="e">
        <v>#N/A</v>
      </c>
      <c r="R25" t="e">
        <v>#N/A</v>
      </c>
      <c r="S25" vm="329">
        <v>0.3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327">
        <v>11.8</v>
      </c>
      <c r="L26" vm="328">
        <v>-1.3</v>
      </c>
      <c r="N26" t="s" vm="59">
        <v>21</v>
      </c>
      <c r="O26" vm="327">
        <v>11.8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326">
        <v>-1.3</v>
      </c>
      <c r="V26" t="e">
        <v>#N/A</v>
      </c>
    </row>
    <row r="27" spans="10:22" x14ac:dyDescent="0.4">
      <c r="J27" t="s" vm="55">
        <v>20</v>
      </c>
      <c r="K27" vm="324">
        <v>10.9</v>
      </c>
      <c r="L27" vm="325">
        <v>0.1</v>
      </c>
      <c r="N27" t="s" vm="55">
        <v>20</v>
      </c>
      <c r="O27" vm="324">
        <v>10.9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323">
        <v>0.1</v>
      </c>
      <c r="V27" t="e">
        <v>#N/A</v>
      </c>
    </row>
    <row r="28" spans="10:22" x14ac:dyDescent="0.4">
      <c r="J28" t="s" vm="51">
        <v>19</v>
      </c>
      <c r="K28" vm="321">
        <v>8.5</v>
      </c>
      <c r="L28" vm="322">
        <v>-0.1</v>
      </c>
      <c r="N28" t="s" vm="51">
        <v>19</v>
      </c>
      <c r="O28" vm="321">
        <v>8.5</v>
      </c>
      <c r="P28" t="e">
        <v>#N/A</v>
      </c>
      <c r="Q28" t="e">
        <v>#N/A</v>
      </c>
      <c r="R28" vm="320">
        <v>-0.1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318">
        <v>16.100000000000001</v>
      </c>
      <c r="L29" vm="319">
        <v>-2.9</v>
      </c>
      <c r="N29" t="s" vm="47">
        <v>18</v>
      </c>
      <c r="O29" vm="318">
        <v>16.100000000000001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317">
        <v>-2.9</v>
      </c>
    </row>
    <row r="30" spans="10:22" x14ac:dyDescent="0.4">
      <c r="J30" t="s" vm="43">
        <v>17</v>
      </c>
      <c r="K30" vm="315">
        <v>13.5</v>
      </c>
      <c r="L30" vm="316">
        <v>2.8</v>
      </c>
      <c r="N30" t="s" vm="43">
        <v>17</v>
      </c>
      <c r="O30" vm="315">
        <v>13.5</v>
      </c>
      <c r="P30" t="e">
        <v>#N/A</v>
      </c>
      <c r="Q30" t="e">
        <v>#N/A</v>
      </c>
      <c r="R30" t="e">
        <v>#N/A</v>
      </c>
      <c r="S30" vm="314">
        <v>2.8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12">
        <v>8.5</v>
      </c>
      <c r="L31" vm="313">
        <v>1.7</v>
      </c>
      <c r="N31" t="s" vm="39">
        <v>16</v>
      </c>
      <c r="O31" vm="312">
        <v>8.5</v>
      </c>
      <c r="P31" vm="311">
        <v>1.7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309">
        <v>10</v>
      </c>
      <c r="L32" vm="310">
        <v>-1.3</v>
      </c>
      <c r="N32" t="s" vm="35">
        <v>15</v>
      </c>
      <c r="O32" vm="309">
        <v>10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308">
        <v>-1.3</v>
      </c>
      <c r="V32" t="e">
        <v>#N/A</v>
      </c>
    </row>
    <row r="33" spans="10:22" x14ac:dyDescent="0.4">
      <c r="J33" t="s" vm="31">
        <v>14</v>
      </c>
      <c r="K33" vm="306">
        <v>7.6</v>
      </c>
      <c r="L33" vm="307">
        <v>0</v>
      </c>
      <c r="N33" t="s" vm="31">
        <v>14</v>
      </c>
      <c r="O33" vm="306">
        <v>7.6</v>
      </c>
      <c r="P33" t="e">
        <v>#N/A</v>
      </c>
      <c r="Q33" t="e">
        <v>#N/A</v>
      </c>
      <c r="R33" vm="305">
        <v>0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303">
        <v>4.7</v>
      </c>
      <c r="L34" vm="304">
        <v>0.5</v>
      </c>
      <c r="N34" t="s" vm="27">
        <v>13</v>
      </c>
      <c r="O34" vm="303">
        <v>4.7</v>
      </c>
      <c r="P34" t="e">
        <v>#N/A</v>
      </c>
      <c r="Q34" vm="302">
        <v>0.5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300">
        <v>9.1</v>
      </c>
      <c r="L35" vm="301">
        <v>-1.6</v>
      </c>
      <c r="N35" t="s" vm="23">
        <v>12</v>
      </c>
      <c r="O35" vm="300">
        <v>9.1</v>
      </c>
      <c r="P35" t="e">
        <v>#N/A</v>
      </c>
      <c r="Q35" t="e">
        <v>#N/A</v>
      </c>
      <c r="R35" vm="299">
        <v>-1.6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297">
        <v>8.9</v>
      </c>
      <c r="L36" vm="298">
        <v>0.4</v>
      </c>
      <c r="N36" t="s" vm="19">
        <v>11</v>
      </c>
      <c r="O36" vm="297">
        <v>8.9</v>
      </c>
      <c r="P36" t="e">
        <v>#N/A</v>
      </c>
      <c r="Q36" t="e">
        <v>#N/A</v>
      </c>
      <c r="R36" vm="296">
        <v>0.4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294">
        <v>19.3</v>
      </c>
      <c r="L37" vm="295">
        <v>-0.5</v>
      </c>
      <c r="N37" t="s" vm="15">
        <v>10</v>
      </c>
      <c r="O37" vm="294">
        <v>19.3</v>
      </c>
      <c r="P37" t="e">
        <v>#N/A</v>
      </c>
      <c r="Q37" t="e">
        <v>#N/A</v>
      </c>
      <c r="R37" t="e">
        <v>#N/A</v>
      </c>
      <c r="S37" t="e">
        <v>#N/A</v>
      </c>
      <c r="T37" vm="293">
        <v>-0.5</v>
      </c>
      <c r="U37" t="e">
        <v>#N/A</v>
      </c>
      <c r="V37" t="e">
        <v>#N/A</v>
      </c>
    </row>
    <row r="38" spans="10:22" x14ac:dyDescent="0.4">
      <c r="J38" t="s" vm="11">
        <v>9</v>
      </c>
      <c r="K38" vm="291">
        <v>5.7</v>
      </c>
      <c r="L38" vm="292">
        <v>0.1</v>
      </c>
      <c r="N38" t="s" vm="11">
        <v>9</v>
      </c>
      <c r="O38" vm="291">
        <v>5.7</v>
      </c>
      <c r="P38" t="e">
        <v>#N/A</v>
      </c>
      <c r="Q38" vm="290">
        <v>0.1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288">
        <v>7.8</v>
      </c>
      <c r="L39" vm="289">
        <v>-0.6</v>
      </c>
      <c r="N39" t="s" vm="7">
        <v>8</v>
      </c>
      <c r="O39" vm="288">
        <v>7.8</v>
      </c>
      <c r="P39" t="e">
        <v>#N/A</v>
      </c>
      <c r="Q39" t="e">
        <v>#N/A</v>
      </c>
      <c r="R39" vm="287">
        <v>-0.6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285">
        <v>11.2</v>
      </c>
      <c r="L40" vm="286">
        <v>-1.1000000000000001</v>
      </c>
      <c r="N40" t="s" vm="3">
        <v>7</v>
      </c>
      <c r="O40" vm="285">
        <v>11.2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284">
        <v>-1.1000000000000001</v>
      </c>
      <c r="V40" t="e">
        <v>#N/A</v>
      </c>
    </row>
    <row r="43" spans="10:22" x14ac:dyDescent="0.4">
      <c r="J43" t="s">
        <v>6</v>
      </c>
      <c r="K43" s="1">
        <v>4.7</v>
      </c>
      <c r="L43" s="1">
        <v>-2.9</v>
      </c>
    </row>
    <row r="44" spans="10:22" x14ac:dyDescent="0.4">
      <c r="J44" t="s">
        <v>5</v>
      </c>
      <c r="K44" s="1">
        <v>19.3</v>
      </c>
      <c r="L44" s="1">
        <v>2.8</v>
      </c>
    </row>
    <row r="45" spans="10:22" x14ac:dyDescent="0.4">
      <c r="J45" t="s">
        <v>4</v>
      </c>
      <c r="K45" s="1">
        <v>10.633333333333333</v>
      </c>
      <c r="L45" s="2">
        <v>-0.22592592592592592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4.7</v>
      </c>
      <c r="L48">
        <v>-0.22592592592592592</v>
      </c>
    </row>
    <row r="49" spans="10:12" x14ac:dyDescent="0.4">
      <c r="K49" s="1">
        <v>19.3</v>
      </c>
      <c r="L49" s="2">
        <v>-0.22592592592592592</v>
      </c>
    </row>
    <row r="51" spans="10:12" x14ac:dyDescent="0.4">
      <c r="J51" t="s">
        <v>0</v>
      </c>
      <c r="K51" s="2">
        <v>10.633333333333333</v>
      </c>
      <c r="L51" s="1">
        <v>-2.9</v>
      </c>
    </row>
    <row r="52" spans="10:12" x14ac:dyDescent="0.4">
      <c r="K52" s="2">
        <v>10.633333333333333</v>
      </c>
      <c r="L52" s="1">
        <v>2.8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16</xdr:col>
                    <xdr:colOff>582386</xdr:colOff>
                    <xdr:row>44</xdr:row>
                    <xdr:rowOff>108857</xdr:rowOff>
                  </from>
                  <to>
                    <xdr:col>20</xdr:col>
                    <xdr:colOff>288471</xdr:colOff>
                    <xdr:row>51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2F75-005F-4C22-8CBC-FB81A37F17C7}">
  <sheetPr codeName="Sheet7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448">
        <f>K6</f>
        <v>2023</v>
      </c>
      <c r="C5" s="34"/>
      <c r="D5" s="34"/>
      <c r="E5" s="34"/>
      <c r="F5" s="34"/>
      <c r="G5" s="35"/>
      <c r="J5" t="s">
        <v>49</v>
      </c>
      <c r="K5" t="s" vm="449">
        <v>60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448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59</v>
      </c>
    </row>
    <row r="10" spans="2:22" ht="16.75" thickTop="1" thickBot="1" x14ac:dyDescent="0.45">
      <c r="B10" s="14" t="s">
        <v>97</v>
      </c>
      <c r="C10" s="15"/>
      <c r="D10" s="16" t="s">
        <v>23</v>
      </c>
      <c r="E10" s="17" t="s">
        <v>26</v>
      </c>
      <c r="F10" s="16" t="s">
        <v>15</v>
      </c>
      <c r="G10" s="18" t="s">
        <v>17</v>
      </c>
    </row>
    <row r="11" spans="2:22" ht="16.3" thickBot="1" x14ac:dyDescent="0.45">
      <c r="B11" s="19" t="s">
        <v>98</v>
      </c>
      <c r="C11" s="20"/>
      <c r="D11" s="21" t="s">
        <v>9</v>
      </c>
      <c r="E11" s="21" t="s">
        <v>205</v>
      </c>
      <c r="F11" s="22" t="s">
        <v>27</v>
      </c>
      <c r="G11" s="23"/>
    </row>
    <row r="12" spans="2:22" ht="16.3" thickBot="1" x14ac:dyDescent="0.45">
      <c r="B12" s="19" t="s">
        <v>94</v>
      </c>
      <c r="C12" s="20" t="s">
        <v>206</v>
      </c>
      <c r="D12" s="24"/>
      <c r="E12" s="24" t="s">
        <v>207</v>
      </c>
      <c r="F12" s="24" t="s">
        <v>208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12</v>
      </c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209</v>
      </c>
      <c r="E14" s="31" t="s">
        <v>18</v>
      </c>
      <c r="F14" s="31"/>
      <c r="G14" s="32" t="s">
        <v>210</v>
      </c>
      <c r="J14" t="s" vm="107">
        <v>33</v>
      </c>
      <c r="K14" vm="446">
        <v>7.8</v>
      </c>
      <c r="L14" vm="447">
        <v>0</v>
      </c>
      <c r="N14" t="s" vm="107">
        <v>33</v>
      </c>
      <c r="O14" vm="446">
        <v>7.8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445">
        <v>0</v>
      </c>
      <c r="V14" t="e">
        <v>#N/A</v>
      </c>
    </row>
    <row r="15" spans="2:22" ht="15" thickTop="1" x14ac:dyDescent="0.4">
      <c r="J15" t="s" vm="103">
        <v>32</v>
      </c>
      <c r="K15" vm="443">
        <v>7.6</v>
      </c>
      <c r="L15" vm="444">
        <v>0</v>
      </c>
      <c r="N15" t="s" vm="103">
        <v>32</v>
      </c>
      <c r="O15" vm="443">
        <v>7.6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442">
        <v>0</v>
      </c>
      <c r="V15" t="e">
        <v>#N/A</v>
      </c>
    </row>
    <row r="16" spans="2:22" x14ac:dyDescent="0.4">
      <c r="J16" t="s" vm="99">
        <v>31</v>
      </c>
      <c r="K16" vm="440">
        <v>7.3</v>
      </c>
      <c r="L16" vm="441">
        <v>-0.2</v>
      </c>
      <c r="N16" t="s" vm="99">
        <v>31</v>
      </c>
      <c r="O16" vm="440">
        <v>7.3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439">
        <v>-0.2</v>
      </c>
      <c r="V16" t="e">
        <v>#N/A</v>
      </c>
    </row>
    <row r="17" spans="10:22" x14ac:dyDescent="0.4">
      <c r="J17" t="s" vm="95">
        <v>30</v>
      </c>
      <c r="K17" vm="437">
        <v>9</v>
      </c>
      <c r="L17" vm="438">
        <v>-3.1</v>
      </c>
      <c r="N17" t="s" vm="95">
        <v>30</v>
      </c>
      <c r="O17" vm="437">
        <v>9</v>
      </c>
      <c r="P17" t="e">
        <v>#N/A</v>
      </c>
      <c r="Q17" t="e">
        <v>#N/A</v>
      </c>
      <c r="R17" vm="436">
        <v>-3.1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434">
        <v>13.9</v>
      </c>
      <c r="L18" vm="435">
        <v>-1</v>
      </c>
      <c r="N18" t="s" vm="91">
        <v>29</v>
      </c>
      <c r="O18" vm="434">
        <v>13.9</v>
      </c>
      <c r="P18" t="e">
        <v>#N/A</v>
      </c>
      <c r="Q18" t="e">
        <v>#N/A</v>
      </c>
      <c r="R18" t="e">
        <v>#N/A</v>
      </c>
      <c r="S18" t="e">
        <v>#N/A</v>
      </c>
      <c r="T18" vm="433">
        <v>-1</v>
      </c>
      <c r="U18" t="e">
        <v>#N/A</v>
      </c>
      <c r="V18" t="e">
        <v>#N/A</v>
      </c>
    </row>
    <row r="19" spans="10:22" x14ac:dyDescent="0.4">
      <c r="J19" t="s" vm="87">
        <v>28</v>
      </c>
      <c r="K19" vm="431">
        <v>7.7</v>
      </c>
      <c r="L19" vm="432">
        <v>0</v>
      </c>
      <c r="N19" t="s" vm="87">
        <v>28</v>
      </c>
      <c r="O19" vm="431">
        <v>7.7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430">
        <v>0</v>
      </c>
      <c r="V19" t="e">
        <v>#N/A</v>
      </c>
    </row>
    <row r="20" spans="10:22" x14ac:dyDescent="0.4">
      <c r="J20" t="s" vm="83">
        <v>27</v>
      </c>
      <c r="K20" vm="428">
        <v>5.6</v>
      </c>
      <c r="L20" vm="429">
        <v>0.2</v>
      </c>
      <c r="N20" t="s" vm="83">
        <v>27</v>
      </c>
      <c r="O20" vm="428">
        <v>5.6</v>
      </c>
      <c r="P20" t="e">
        <v>#N/A</v>
      </c>
      <c r="Q20" t="e">
        <v>#N/A</v>
      </c>
      <c r="R20" vm="427">
        <v>0.2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425">
        <v>2.4</v>
      </c>
      <c r="L21" vm="426">
        <v>-0.5</v>
      </c>
      <c r="N21" t="s" vm="79">
        <v>26</v>
      </c>
      <c r="O21" vm="425">
        <v>2.4</v>
      </c>
      <c r="P21" t="e">
        <v>#N/A</v>
      </c>
      <c r="Q21" vm="424">
        <v>-0.5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422">
        <v>19.8</v>
      </c>
      <c r="L22" vm="423">
        <v>-1.2</v>
      </c>
      <c r="N22" t="s" vm="75">
        <v>25</v>
      </c>
      <c r="O22" vm="422">
        <v>19.8</v>
      </c>
      <c r="P22" t="e">
        <v>#N/A</v>
      </c>
      <c r="Q22" t="e">
        <v>#N/A</v>
      </c>
      <c r="R22" t="e">
        <v>#N/A</v>
      </c>
      <c r="S22" t="e">
        <v>#N/A</v>
      </c>
      <c r="T22" vm="421">
        <v>-1.2</v>
      </c>
      <c r="U22" t="e">
        <v>#N/A</v>
      </c>
      <c r="V22" t="e">
        <v>#N/A</v>
      </c>
    </row>
    <row r="23" spans="10:22" x14ac:dyDescent="0.4">
      <c r="J23" t="s" vm="71">
        <v>24</v>
      </c>
      <c r="K23" vm="419">
        <v>10.3</v>
      </c>
      <c r="L23" vm="420">
        <v>-0.9</v>
      </c>
      <c r="N23" t="s" vm="71">
        <v>24</v>
      </c>
      <c r="O23" vm="419">
        <v>10.3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418">
        <v>-0.9</v>
      </c>
      <c r="V23" t="e">
        <v>#N/A</v>
      </c>
    </row>
    <row r="24" spans="10:22" x14ac:dyDescent="0.4">
      <c r="J24" t="s" vm="67">
        <v>23</v>
      </c>
      <c r="K24" vm="416">
        <v>0.2</v>
      </c>
      <c r="L24" vm="417">
        <v>-1</v>
      </c>
      <c r="N24" t="s" vm="67">
        <v>23</v>
      </c>
      <c r="O24" vm="416">
        <v>0.2</v>
      </c>
      <c r="P24" t="e">
        <v>#N/A</v>
      </c>
      <c r="Q24" vm="415">
        <v>-1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413">
        <v>5.5</v>
      </c>
      <c r="L25" vm="414">
        <v>-0.3</v>
      </c>
      <c r="N25" t="s" vm="63">
        <v>22</v>
      </c>
      <c r="O25" vm="413">
        <v>5.5</v>
      </c>
      <c r="P25" t="e">
        <v>#N/A</v>
      </c>
      <c r="Q25" t="e">
        <v>#N/A</v>
      </c>
      <c r="R25" vm="412">
        <v>-0.3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410">
        <v>7.7</v>
      </c>
      <c r="L26" vm="411">
        <v>-1.7</v>
      </c>
      <c r="N26" t="s" vm="59">
        <v>21</v>
      </c>
      <c r="O26" vm="410">
        <v>7.7</v>
      </c>
      <c r="P26" t="e">
        <v>#N/A</v>
      </c>
      <c r="Q26" t="e">
        <v>#N/A</v>
      </c>
      <c r="R26" vm="409">
        <v>-1.7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407">
        <v>9.1999999999999993</v>
      </c>
      <c r="L27" vm="408">
        <v>-0.6</v>
      </c>
      <c r="N27" t="s" vm="55">
        <v>20</v>
      </c>
      <c r="O27" vm="407">
        <v>9.1999999999999993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406">
        <v>-0.6</v>
      </c>
      <c r="V27" t="e">
        <v>#N/A</v>
      </c>
    </row>
    <row r="28" spans="10:22" x14ac:dyDescent="0.4">
      <c r="J28" t="s" vm="51">
        <v>19</v>
      </c>
      <c r="K28" vm="404">
        <v>9.9</v>
      </c>
      <c r="L28" vm="405">
        <v>-1.5</v>
      </c>
      <c r="N28" t="s" vm="51">
        <v>19</v>
      </c>
      <c r="O28" vm="404">
        <v>9.9</v>
      </c>
      <c r="P28" t="e">
        <v>#N/A</v>
      </c>
      <c r="Q28" t="e">
        <v>#N/A</v>
      </c>
      <c r="R28" vm="403">
        <v>-1.5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01">
        <v>19.5</v>
      </c>
      <c r="L29" vm="402">
        <v>-0.2</v>
      </c>
      <c r="N29" t="s" vm="47">
        <v>18</v>
      </c>
      <c r="O29" vm="401">
        <v>19.5</v>
      </c>
      <c r="P29" t="e">
        <v>#N/A</v>
      </c>
      <c r="Q29" t="e">
        <v>#N/A</v>
      </c>
      <c r="R29" t="e">
        <v>#N/A</v>
      </c>
      <c r="S29" t="e">
        <v>#N/A</v>
      </c>
      <c r="T29" vm="400">
        <v>-0.2</v>
      </c>
      <c r="U29" t="e">
        <v>#N/A</v>
      </c>
      <c r="V29" t="e">
        <v>#N/A</v>
      </c>
    </row>
    <row r="30" spans="10:22" x14ac:dyDescent="0.4">
      <c r="J30" t="s" vm="43">
        <v>17</v>
      </c>
      <c r="K30" vm="398">
        <v>1.5</v>
      </c>
      <c r="L30" vm="399">
        <v>0.7</v>
      </c>
      <c r="N30" t="s" vm="43">
        <v>17</v>
      </c>
      <c r="O30" vm="398">
        <v>1.5</v>
      </c>
      <c r="P30" vm="397">
        <v>0.7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395">
        <v>6.8</v>
      </c>
      <c r="L31" vm="396">
        <v>0.3</v>
      </c>
      <c r="N31" t="s" vm="39">
        <v>16</v>
      </c>
      <c r="O31" vm="395">
        <v>6.8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394">
        <v>0.3</v>
      </c>
      <c r="V31" t="e">
        <v>#N/A</v>
      </c>
    </row>
    <row r="32" spans="10:22" x14ac:dyDescent="0.4">
      <c r="J32" t="s" vm="35">
        <v>15</v>
      </c>
      <c r="K32" vm="392">
        <v>3.1</v>
      </c>
      <c r="L32" vm="393">
        <v>0</v>
      </c>
      <c r="N32" t="s" vm="35">
        <v>15</v>
      </c>
      <c r="O32" vm="392">
        <v>3.1</v>
      </c>
      <c r="P32" t="e">
        <v>#N/A</v>
      </c>
      <c r="Q32" vm="391">
        <v>0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389">
        <v>14.1</v>
      </c>
      <c r="L33" vm="390">
        <v>0.8</v>
      </c>
      <c r="N33" t="s" vm="31">
        <v>14</v>
      </c>
      <c r="O33" vm="389">
        <v>14.1</v>
      </c>
      <c r="P33" t="e">
        <v>#N/A</v>
      </c>
      <c r="Q33" t="e">
        <v>#N/A</v>
      </c>
      <c r="R33" t="e">
        <v>#N/A</v>
      </c>
      <c r="S33" t="e">
        <v>#N/A</v>
      </c>
      <c r="T33" vm="388">
        <v>0.8</v>
      </c>
      <c r="U33" t="e">
        <v>#N/A</v>
      </c>
      <c r="V33" t="e">
        <v>#N/A</v>
      </c>
    </row>
    <row r="34" spans="10:22" x14ac:dyDescent="0.4">
      <c r="J34" t="s" vm="27">
        <v>13</v>
      </c>
      <c r="K34" vm="386">
        <v>7.8</v>
      </c>
      <c r="L34" vm="387">
        <v>-0.1</v>
      </c>
      <c r="N34" t="s" vm="27">
        <v>13</v>
      </c>
      <c r="O34" vm="386">
        <v>7.8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385">
        <v>-0.1</v>
      </c>
      <c r="V34" t="e">
        <v>#N/A</v>
      </c>
    </row>
    <row r="35" spans="10:22" x14ac:dyDescent="0.4">
      <c r="J35" t="s" vm="23">
        <v>12</v>
      </c>
      <c r="K35" vm="383">
        <v>11.8</v>
      </c>
      <c r="L35" vm="384">
        <v>-1.1000000000000001</v>
      </c>
      <c r="N35" t="s" vm="23">
        <v>12</v>
      </c>
      <c r="O35" vm="383">
        <v>11.8</v>
      </c>
      <c r="P35" t="e">
        <v>#N/A</v>
      </c>
      <c r="Q35" t="e">
        <v>#N/A</v>
      </c>
      <c r="R35" t="e">
        <v>#N/A</v>
      </c>
      <c r="S35" vm="382">
        <v>-1.1000000000000001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380">
        <v>5.5</v>
      </c>
      <c r="L36" vm="381">
        <v>-0.3</v>
      </c>
      <c r="N36" t="s" vm="19">
        <v>11</v>
      </c>
      <c r="O36" vm="380">
        <v>5.5</v>
      </c>
      <c r="P36" t="e">
        <v>#N/A</v>
      </c>
      <c r="Q36" t="e">
        <v>#N/A</v>
      </c>
      <c r="R36" vm="379">
        <v>-0.3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377">
        <v>19.100000000000001</v>
      </c>
      <c r="L37" vm="378">
        <v>0.5</v>
      </c>
      <c r="N37" t="s" vm="15">
        <v>10</v>
      </c>
      <c r="O37" vm="377">
        <v>19.100000000000001</v>
      </c>
      <c r="P37" t="e">
        <v>#N/A</v>
      </c>
      <c r="Q37" t="e">
        <v>#N/A</v>
      </c>
      <c r="R37" t="e">
        <v>#N/A</v>
      </c>
      <c r="S37" t="e">
        <v>#N/A</v>
      </c>
      <c r="T37" vm="376">
        <v>0.5</v>
      </c>
      <c r="U37" t="e">
        <v>#N/A</v>
      </c>
      <c r="V37" t="e">
        <v>#N/A</v>
      </c>
    </row>
    <row r="38" spans="10:22" x14ac:dyDescent="0.4">
      <c r="J38" t="s" vm="11">
        <v>9</v>
      </c>
      <c r="K38" vm="374">
        <v>4.7</v>
      </c>
      <c r="L38" vm="375">
        <v>-1</v>
      </c>
      <c r="N38" t="s" vm="11">
        <v>9</v>
      </c>
      <c r="O38" vm="374">
        <v>4.7</v>
      </c>
      <c r="P38" t="e">
        <v>#N/A</v>
      </c>
      <c r="Q38" t="e">
        <v>#N/A</v>
      </c>
      <c r="R38" vm="373">
        <v>-1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371">
        <v>6.1</v>
      </c>
      <c r="L39" vm="372">
        <v>-0.8</v>
      </c>
      <c r="N39" t="s" vm="7">
        <v>8</v>
      </c>
      <c r="O39" vm="371">
        <v>6.1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370">
        <v>-0.8</v>
      </c>
      <c r="V39" t="e">
        <v>#N/A</v>
      </c>
    </row>
    <row r="40" spans="10:22" x14ac:dyDescent="0.4">
      <c r="J40" t="s" vm="3">
        <v>7</v>
      </c>
      <c r="K40" vm="368">
        <v>7.7</v>
      </c>
      <c r="L40" vm="369">
        <v>-0.4</v>
      </c>
      <c r="N40" t="s" vm="3">
        <v>7</v>
      </c>
      <c r="O40" vm="368">
        <v>7.7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367">
        <v>-0.4</v>
      </c>
      <c r="V40" t="e">
        <v>#N/A</v>
      </c>
    </row>
    <row r="43" spans="10:22" x14ac:dyDescent="0.4">
      <c r="J43" t="s">
        <v>6</v>
      </c>
      <c r="K43" s="1">
        <v>0.2</v>
      </c>
      <c r="L43" s="1">
        <v>-3.1</v>
      </c>
    </row>
    <row r="44" spans="10:22" x14ac:dyDescent="0.4">
      <c r="J44" t="s">
        <v>5</v>
      </c>
      <c r="K44" s="1">
        <v>19.8</v>
      </c>
      <c r="L44" s="1">
        <v>0.8</v>
      </c>
    </row>
    <row r="45" spans="10:22" x14ac:dyDescent="0.4">
      <c r="J45" t="s">
        <v>4</v>
      </c>
      <c r="K45" s="1">
        <v>8.5777777777777793</v>
      </c>
      <c r="L45" s="2">
        <v>-0.49629629629629629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0.2</v>
      </c>
      <c r="L48">
        <v>-0.49629629629629629</v>
      </c>
    </row>
    <row r="49" spans="10:12" x14ac:dyDescent="0.4">
      <c r="K49" s="1">
        <v>19.8</v>
      </c>
      <c r="L49" s="2">
        <v>-0.49629629629629629</v>
      </c>
    </row>
    <row r="51" spans="10:12" x14ac:dyDescent="0.4">
      <c r="J51" t="s">
        <v>0</v>
      </c>
      <c r="K51" s="2">
        <v>8.5777777777777793</v>
      </c>
      <c r="L51" s="1">
        <v>-3.1</v>
      </c>
    </row>
    <row r="52" spans="10:12" x14ac:dyDescent="0.4">
      <c r="K52" s="2">
        <v>8.5777777777777793</v>
      </c>
      <c r="L52" s="1">
        <v>0.8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16</xdr:col>
                    <xdr:colOff>440871</xdr:colOff>
                    <xdr:row>45</xdr:row>
                    <xdr:rowOff>81643</xdr:rowOff>
                  </from>
                  <to>
                    <xdr:col>20</xdr:col>
                    <xdr:colOff>146957</xdr:colOff>
                    <xdr:row>52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1A00-18F5-4F2D-BFC4-0B0A1D77B6F1}">
  <sheetPr codeName="Sheet8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531">
        <f>K6</f>
        <v>2023</v>
      </c>
      <c r="C5" s="34"/>
      <c r="D5" s="34"/>
      <c r="E5" s="34"/>
      <c r="F5" s="34"/>
      <c r="G5" s="35"/>
      <c r="J5" t="s">
        <v>49</v>
      </c>
      <c r="K5" t="s" vm="532">
        <v>63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531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62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61</v>
      </c>
    </row>
    <row r="10" spans="2:22" ht="16.75" thickTop="1" thickBot="1" x14ac:dyDescent="0.45">
      <c r="B10" s="14" t="s">
        <v>97</v>
      </c>
      <c r="C10" s="15"/>
      <c r="D10" s="16" t="s">
        <v>32</v>
      </c>
      <c r="E10" s="17" t="s">
        <v>107</v>
      </c>
      <c r="F10" s="16"/>
      <c r="G10" s="18" t="s">
        <v>7</v>
      </c>
    </row>
    <row r="11" spans="2:22" ht="16.3" thickBot="1" x14ac:dyDescent="0.45">
      <c r="B11" s="19" t="s">
        <v>98</v>
      </c>
      <c r="C11" s="20"/>
      <c r="D11" s="21"/>
      <c r="E11" s="21" t="s">
        <v>108</v>
      </c>
      <c r="F11" s="22"/>
      <c r="G11" s="23"/>
    </row>
    <row r="12" spans="2:22" ht="16.3" thickBot="1" x14ac:dyDescent="0.45">
      <c r="B12" s="19" t="s">
        <v>94</v>
      </c>
      <c r="C12" s="20"/>
      <c r="D12" s="24"/>
      <c r="E12" s="24" t="s">
        <v>109</v>
      </c>
      <c r="F12" s="24" t="s">
        <v>16</v>
      </c>
      <c r="G12" s="25" t="s">
        <v>110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 t="s">
        <v>24</v>
      </c>
      <c r="E13" s="28" t="s">
        <v>111</v>
      </c>
      <c r="F13" s="28"/>
      <c r="G13" s="25" t="s">
        <v>112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31</v>
      </c>
      <c r="D14" s="31" t="s">
        <v>113</v>
      </c>
      <c r="E14" s="31" t="s">
        <v>17</v>
      </c>
      <c r="F14" s="31"/>
      <c r="G14" s="32"/>
      <c r="J14" t="s" vm="107">
        <v>33</v>
      </c>
      <c r="K14" vm="529">
        <v>4.28</v>
      </c>
      <c r="L14" vm="530">
        <v>0.03</v>
      </c>
      <c r="N14" t="s" vm="107">
        <v>33</v>
      </c>
      <c r="O14" vm="529">
        <v>4.28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528">
        <v>0.03</v>
      </c>
      <c r="V14" t="e">
        <v>#N/A</v>
      </c>
    </row>
    <row r="15" spans="2:22" ht="15" thickTop="1" x14ac:dyDescent="0.4">
      <c r="J15" t="s" vm="103">
        <v>32</v>
      </c>
      <c r="K15" vm="526">
        <v>3.38</v>
      </c>
      <c r="L15" vm="527">
        <v>-0.18</v>
      </c>
      <c r="N15" t="s" vm="103">
        <v>32</v>
      </c>
      <c r="O15" vm="526">
        <v>3.38</v>
      </c>
      <c r="P15" t="e">
        <v>#N/A</v>
      </c>
      <c r="Q15" vm="525">
        <v>-0.18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523">
        <v>6.61</v>
      </c>
      <c r="L16" vm="524">
        <v>-0.69</v>
      </c>
      <c r="N16" t="s" vm="99">
        <v>31</v>
      </c>
      <c r="O16" vm="523">
        <v>6.61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522">
        <v>-0.69</v>
      </c>
    </row>
    <row r="17" spans="10:22" x14ac:dyDescent="0.4">
      <c r="J17" t="s" vm="95">
        <v>30</v>
      </c>
      <c r="K17" vm="520">
        <v>4.2699999999999996</v>
      </c>
      <c r="L17" vm="521">
        <v>-0.01</v>
      </c>
      <c r="N17" t="s" vm="95">
        <v>30</v>
      </c>
      <c r="O17" vm="520">
        <v>4.2699999999999996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519">
        <v>-0.01</v>
      </c>
      <c r="V17" t="e">
        <v>#N/A</v>
      </c>
    </row>
    <row r="18" spans="10:22" x14ac:dyDescent="0.4">
      <c r="J18" t="s" vm="91">
        <v>29</v>
      </c>
      <c r="K18" vm="517">
        <v>3.42</v>
      </c>
      <c r="L18" vm="518">
        <v>-0.06</v>
      </c>
      <c r="N18" t="s" vm="91">
        <v>29</v>
      </c>
      <c r="O18" vm="517">
        <v>3.42</v>
      </c>
      <c r="P18" t="e">
        <v>#N/A</v>
      </c>
      <c r="Q18" vm="516">
        <v>-0.06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514">
        <v>4.4400000000000004</v>
      </c>
      <c r="L19" vm="515">
        <v>0.06</v>
      </c>
      <c r="N19" t="s" vm="87">
        <v>28</v>
      </c>
      <c r="O19" vm="514">
        <v>4.4400000000000004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513">
        <v>0.06</v>
      </c>
      <c r="V19" t="e">
        <v>#N/A</v>
      </c>
    </row>
    <row r="20" spans="10:22" x14ac:dyDescent="0.4">
      <c r="J20" t="s" vm="83">
        <v>27</v>
      </c>
      <c r="K20" vm="511">
        <v>4.1500000000000004</v>
      </c>
      <c r="L20" vm="512">
        <v>0.12</v>
      </c>
      <c r="N20" t="s" vm="83">
        <v>27</v>
      </c>
      <c r="O20" vm="511">
        <v>4.1500000000000004</v>
      </c>
      <c r="P20" t="e">
        <v>#N/A</v>
      </c>
      <c r="Q20" t="e">
        <v>#N/A</v>
      </c>
      <c r="R20" vm="510">
        <v>0.12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508">
        <v>5.37</v>
      </c>
      <c r="L21" vm="509">
        <v>-0.02</v>
      </c>
      <c r="N21" t="s" vm="79">
        <v>26</v>
      </c>
      <c r="O21" vm="508">
        <v>5.37</v>
      </c>
      <c r="P21" t="e">
        <v>#N/A</v>
      </c>
      <c r="Q21" t="e">
        <v>#N/A</v>
      </c>
      <c r="R21" t="e">
        <v>#N/A</v>
      </c>
      <c r="S21" vm="507">
        <v>-0.02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505">
        <v>5.28</v>
      </c>
      <c r="L22" vm="506">
        <v>0.08</v>
      </c>
      <c r="N22" t="s" vm="75">
        <v>25</v>
      </c>
      <c r="O22" vm="505">
        <v>5.28</v>
      </c>
      <c r="P22" t="e">
        <v>#N/A</v>
      </c>
      <c r="Q22" t="e">
        <v>#N/A</v>
      </c>
      <c r="R22" t="e">
        <v>#N/A</v>
      </c>
      <c r="S22" vm="504">
        <v>0.08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502">
        <v>5.5</v>
      </c>
      <c r="L23" vm="503">
        <v>-0.13</v>
      </c>
      <c r="N23" t="s" vm="71">
        <v>24</v>
      </c>
      <c r="O23" vm="502">
        <v>5.5</v>
      </c>
      <c r="P23" t="e">
        <v>#N/A</v>
      </c>
      <c r="Q23" t="e">
        <v>#N/A</v>
      </c>
      <c r="R23" t="e">
        <v>#N/A</v>
      </c>
      <c r="S23" vm="501">
        <v>-0.13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499">
        <v>3.78</v>
      </c>
      <c r="L24" vm="500">
        <v>0.03</v>
      </c>
      <c r="N24" t="s" vm="67">
        <v>23</v>
      </c>
      <c r="O24" vm="499">
        <v>3.78</v>
      </c>
      <c r="P24" t="e">
        <v>#N/A</v>
      </c>
      <c r="Q24" vm="498">
        <v>0.03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496">
        <v>4.63</v>
      </c>
      <c r="L25" vm="497">
        <v>0.03</v>
      </c>
      <c r="N25" t="s" vm="63">
        <v>22</v>
      </c>
      <c r="O25" vm="496">
        <v>4.63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495">
        <v>0.03</v>
      </c>
      <c r="V25" t="e">
        <v>#N/A</v>
      </c>
    </row>
    <row r="26" spans="10:22" x14ac:dyDescent="0.4">
      <c r="J26" t="s" vm="59">
        <v>21</v>
      </c>
      <c r="K26" vm="493">
        <v>4.91</v>
      </c>
      <c r="L26" vm="494">
        <v>0.34</v>
      </c>
      <c r="N26" t="s" vm="59">
        <v>21</v>
      </c>
      <c r="O26" vm="493">
        <v>4.91</v>
      </c>
      <c r="P26" t="e">
        <v>#N/A</v>
      </c>
      <c r="Q26" t="e">
        <v>#N/A</v>
      </c>
      <c r="R26" t="e">
        <v>#N/A</v>
      </c>
      <c r="S26" vm="492">
        <v>0.34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490">
        <v>4.47</v>
      </c>
      <c r="L27" vm="491">
        <v>0.48</v>
      </c>
      <c r="N27" t="s" vm="55">
        <v>20</v>
      </c>
      <c r="O27" vm="490">
        <v>4.47</v>
      </c>
      <c r="P27" t="e">
        <v>#N/A</v>
      </c>
      <c r="Q27" t="e">
        <v>#N/A</v>
      </c>
      <c r="R27" t="e">
        <v>#N/A</v>
      </c>
      <c r="S27" vm="489">
        <v>0.48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487">
        <v>3.86</v>
      </c>
      <c r="L28" vm="488">
        <v>0.05</v>
      </c>
      <c r="N28" t="s" vm="51">
        <v>19</v>
      </c>
      <c r="O28" vm="487">
        <v>3.86</v>
      </c>
      <c r="P28" t="e">
        <v>#N/A</v>
      </c>
      <c r="Q28" t="e">
        <v>#N/A</v>
      </c>
      <c r="R28" vm="486">
        <v>0.05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484">
        <v>5.27</v>
      </c>
      <c r="L29" vm="485">
        <v>-0.35</v>
      </c>
      <c r="N29" t="s" vm="47">
        <v>18</v>
      </c>
      <c r="O29" vm="484">
        <v>5.27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483">
        <v>-0.35</v>
      </c>
    </row>
    <row r="30" spans="10:22" x14ac:dyDescent="0.4">
      <c r="J30" t="s" vm="43">
        <v>17</v>
      </c>
      <c r="K30" vm="481">
        <v>6.32</v>
      </c>
      <c r="L30" vm="482">
        <v>-7.0000000000000007E-2</v>
      </c>
      <c r="N30" t="s" vm="43">
        <v>17</v>
      </c>
      <c r="O30" vm="481">
        <v>6.32</v>
      </c>
      <c r="P30" t="e">
        <v>#N/A</v>
      </c>
      <c r="Q30" t="e">
        <v>#N/A</v>
      </c>
      <c r="R30" t="e">
        <v>#N/A</v>
      </c>
      <c r="S30" t="e">
        <v>#N/A</v>
      </c>
      <c r="T30" vm="480">
        <v>-7.0000000000000007E-2</v>
      </c>
      <c r="U30" t="e">
        <v>#N/A</v>
      </c>
      <c r="V30" t="e">
        <v>#N/A</v>
      </c>
    </row>
    <row r="31" spans="10:22" x14ac:dyDescent="0.4">
      <c r="J31" t="s" vm="39">
        <v>16</v>
      </c>
      <c r="K31" vm="478">
        <v>4.79</v>
      </c>
      <c r="L31" vm="479">
        <v>0.25</v>
      </c>
      <c r="N31" t="s" vm="39">
        <v>16</v>
      </c>
      <c r="O31" vm="478">
        <v>4.79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477">
        <v>0.25</v>
      </c>
      <c r="V31" t="e">
        <v>#N/A</v>
      </c>
    </row>
    <row r="32" spans="10:22" x14ac:dyDescent="0.4">
      <c r="J32" t="s" vm="35">
        <v>15</v>
      </c>
      <c r="K32" vm="475">
        <v>6.2</v>
      </c>
      <c r="L32" vm="476">
        <v>-0.13</v>
      </c>
      <c r="N32" t="s" vm="35">
        <v>15</v>
      </c>
      <c r="O32" vm="475">
        <v>6.2</v>
      </c>
      <c r="P32" t="e">
        <v>#N/A</v>
      </c>
      <c r="Q32" t="e">
        <v>#N/A</v>
      </c>
      <c r="R32" t="e">
        <v>#N/A</v>
      </c>
      <c r="S32" t="e">
        <v>#N/A</v>
      </c>
      <c r="T32" vm="474">
        <v>-0.13</v>
      </c>
      <c r="U32" t="e">
        <v>#N/A</v>
      </c>
      <c r="V32" t="e">
        <v>#N/A</v>
      </c>
    </row>
    <row r="33" spans="10:22" x14ac:dyDescent="0.4">
      <c r="J33" t="s" vm="31">
        <v>14</v>
      </c>
      <c r="K33" vm="472">
        <v>5.3</v>
      </c>
      <c r="L33" vm="473">
        <v>0.55000000000000004</v>
      </c>
      <c r="N33" t="s" vm="31">
        <v>14</v>
      </c>
      <c r="O33" vm="472">
        <v>5.3</v>
      </c>
      <c r="P33" t="e">
        <v>#N/A</v>
      </c>
      <c r="Q33" t="e">
        <v>#N/A</v>
      </c>
      <c r="R33" t="e">
        <v>#N/A</v>
      </c>
      <c r="S33" vm="471">
        <v>0.55000000000000004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469">
        <v>3.87</v>
      </c>
      <c r="L34" vm="470">
        <v>-7.0000000000000007E-2</v>
      </c>
      <c r="N34" t="s" vm="27">
        <v>13</v>
      </c>
      <c r="O34" vm="469">
        <v>3.87</v>
      </c>
      <c r="P34" t="e">
        <v>#N/A</v>
      </c>
      <c r="Q34" t="e">
        <v>#N/A</v>
      </c>
      <c r="R34" vm="468">
        <v>-7.0000000000000007E-2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466">
        <v>4.0599999999999996</v>
      </c>
      <c r="L35" vm="467">
        <v>0.15</v>
      </c>
      <c r="N35" t="s" vm="23">
        <v>12</v>
      </c>
      <c r="O35" vm="466">
        <v>4.0599999999999996</v>
      </c>
      <c r="P35" t="e">
        <v>#N/A</v>
      </c>
      <c r="Q35" t="e">
        <v>#N/A</v>
      </c>
      <c r="R35" vm="465">
        <v>0.15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463">
        <v>5.6</v>
      </c>
      <c r="L36" vm="464">
        <v>0.47</v>
      </c>
      <c r="N36" t="s" vm="19">
        <v>11</v>
      </c>
      <c r="O36" vm="463">
        <v>5.6</v>
      </c>
      <c r="P36" t="e">
        <v>#N/A</v>
      </c>
      <c r="Q36" t="e">
        <v>#N/A</v>
      </c>
      <c r="R36" t="e">
        <v>#N/A</v>
      </c>
      <c r="S36" vm="462">
        <v>0.47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460">
        <v>5.83</v>
      </c>
      <c r="L37" vm="461">
        <v>-0.17</v>
      </c>
      <c r="N37" t="s" vm="15">
        <v>10</v>
      </c>
      <c r="O37" vm="460">
        <v>5.83</v>
      </c>
      <c r="P37" t="e">
        <v>#N/A</v>
      </c>
      <c r="Q37" t="e">
        <v>#N/A</v>
      </c>
      <c r="R37" t="e">
        <v>#N/A</v>
      </c>
      <c r="S37" t="e">
        <v>#N/A</v>
      </c>
      <c r="T37" vm="459">
        <v>-0.17</v>
      </c>
      <c r="U37" t="e">
        <v>#N/A</v>
      </c>
      <c r="V37" t="e">
        <v>#N/A</v>
      </c>
    </row>
    <row r="38" spans="10:22" x14ac:dyDescent="0.4">
      <c r="J38" t="s" vm="11">
        <v>9</v>
      </c>
      <c r="K38" vm="457">
        <v>4.7300000000000004</v>
      </c>
      <c r="L38" vm="458">
        <v>0.39</v>
      </c>
      <c r="N38" t="s" vm="11">
        <v>9</v>
      </c>
      <c r="O38" vm="457">
        <v>4.7300000000000004</v>
      </c>
      <c r="P38" t="e">
        <v>#N/A</v>
      </c>
      <c r="Q38" t="e">
        <v>#N/A</v>
      </c>
      <c r="R38" t="e">
        <v>#N/A</v>
      </c>
      <c r="S38" vm="456">
        <v>0.39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454">
        <v>3.34</v>
      </c>
      <c r="L39" vm="455">
        <v>0.06</v>
      </c>
      <c r="N39" t="s" vm="7">
        <v>8</v>
      </c>
      <c r="O39" vm="454">
        <v>3.34</v>
      </c>
      <c r="P39" t="e">
        <v>#N/A</v>
      </c>
      <c r="Q39" vm="453">
        <v>0.06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451">
        <v>3.63</v>
      </c>
      <c r="L40" vm="452">
        <v>0.51</v>
      </c>
      <c r="N40" t="s" vm="3">
        <v>7</v>
      </c>
      <c r="O40" vm="451">
        <v>3.63</v>
      </c>
      <c r="P40" vm="450">
        <v>0.51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3.34</v>
      </c>
      <c r="L43" s="1">
        <v>-0.69</v>
      </c>
    </row>
    <row r="44" spans="10:22" x14ac:dyDescent="0.4">
      <c r="J44" t="s">
        <v>5</v>
      </c>
      <c r="K44" s="1">
        <v>6.61</v>
      </c>
      <c r="L44" s="1">
        <v>0.55000000000000004</v>
      </c>
    </row>
    <row r="45" spans="10:22" x14ac:dyDescent="0.4">
      <c r="J45" t="s">
        <v>4</v>
      </c>
      <c r="K45" s="1">
        <v>4.7144444444444451</v>
      </c>
      <c r="L45" s="2">
        <v>6.3703703703703707E-2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3.34</v>
      </c>
      <c r="L48">
        <v>6.3703703703703707E-2</v>
      </c>
    </row>
    <row r="49" spans="10:12" x14ac:dyDescent="0.4">
      <c r="K49" s="1">
        <v>6.61</v>
      </c>
      <c r="L49" s="2">
        <v>6.3703703703703707E-2</v>
      </c>
    </row>
    <row r="51" spans="10:12" x14ac:dyDescent="0.4">
      <c r="J51" t="s">
        <v>0</v>
      </c>
      <c r="K51" s="2">
        <v>4.7144444444444451</v>
      </c>
      <c r="L51" s="1">
        <v>-0.69</v>
      </c>
    </row>
    <row r="52" spans="10:12" x14ac:dyDescent="0.4">
      <c r="K52" s="2">
        <v>4.7144444444444451</v>
      </c>
      <c r="L52" s="1">
        <v>0.55000000000000004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16</xdr:col>
                    <xdr:colOff>517071</xdr:colOff>
                    <xdr:row>44</xdr:row>
                    <xdr:rowOff>32657</xdr:rowOff>
                  </from>
                  <to>
                    <xdr:col>20</xdr:col>
                    <xdr:colOff>223157</xdr:colOff>
                    <xdr:row>51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8939-4A07-4A9C-9EC3-CEA8041AAE40}">
  <sheetPr codeName="Sheet9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614">
        <f>K6</f>
        <v>2023</v>
      </c>
      <c r="C5" s="34"/>
      <c r="D5" s="34"/>
      <c r="E5" s="34"/>
      <c r="F5" s="34"/>
      <c r="G5" s="35"/>
      <c r="J5" t="s">
        <v>49</v>
      </c>
      <c r="K5" t="s" vm="615">
        <v>66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614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64</v>
      </c>
    </row>
    <row r="10" spans="2:22" ht="16.75" thickTop="1" thickBot="1" x14ac:dyDescent="0.45">
      <c r="B10" s="14" t="s">
        <v>97</v>
      </c>
      <c r="C10" s="15"/>
      <c r="D10" s="16"/>
      <c r="E10" s="17" t="s">
        <v>114</v>
      </c>
      <c r="F10" s="16" t="s">
        <v>26</v>
      </c>
      <c r="G10" s="18"/>
    </row>
    <row r="11" spans="2:22" ht="16.3" thickBot="1" x14ac:dyDescent="0.45">
      <c r="B11" s="19" t="s">
        <v>98</v>
      </c>
      <c r="C11" s="20" t="s">
        <v>115</v>
      </c>
      <c r="D11" s="21"/>
      <c r="E11" s="21" t="s">
        <v>116</v>
      </c>
      <c r="F11" s="22"/>
      <c r="G11" s="23" t="s">
        <v>27</v>
      </c>
    </row>
    <row r="12" spans="2:22" ht="16.3" thickBot="1" x14ac:dyDescent="0.45">
      <c r="B12" s="19" t="s">
        <v>94</v>
      </c>
      <c r="C12" s="20" t="s">
        <v>12</v>
      </c>
      <c r="D12" s="24" t="s">
        <v>117</v>
      </c>
      <c r="E12" s="24" t="s">
        <v>118</v>
      </c>
      <c r="F12" s="24" t="s">
        <v>16</v>
      </c>
      <c r="G12" s="25" t="s">
        <v>119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22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120</v>
      </c>
      <c r="D14" s="31"/>
      <c r="E14" s="31" t="s">
        <v>21</v>
      </c>
      <c r="F14" s="31" t="s">
        <v>121</v>
      </c>
      <c r="G14" s="32"/>
      <c r="J14" t="s" vm="107">
        <v>33</v>
      </c>
      <c r="K14" vm="612">
        <v>77.2</v>
      </c>
      <c r="L14" vm="613">
        <v>-0.1</v>
      </c>
      <c r="N14" t="s" vm="107">
        <v>33</v>
      </c>
      <c r="O14" vm="612">
        <v>77.2</v>
      </c>
      <c r="P14" t="e">
        <v>#N/A</v>
      </c>
      <c r="Q14" t="e">
        <v>#N/A</v>
      </c>
      <c r="R14" t="e">
        <v>#N/A</v>
      </c>
      <c r="S14" vm="611">
        <v>-0.1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609">
        <v>72.099999999999994</v>
      </c>
      <c r="L15" vm="610">
        <v>0.2</v>
      </c>
      <c r="N15" t="s" vm="103">
        <v>32</v>
      </c>
      <c r="O15" vm="609">
        <v>72.099999999999994</v>
      </c>
      <c r="P15" t="e">
        <v>#N/A</v>
      </c>
      <c r="Q15" t="e">
        <v>#N/A</v>
      </c>
      <c r="R15" t="e">
        <v>#N/A</v>
      </c>
      <c r="S15" t="e">
        <v>#N/A</v>
      </c>
      <c r="T15" vm="608">
        <v>0.2</v>
      </c>
      <c r="U15" t="e">
        <v>#N/A</v>
      </c>
      <c r="V15" t="e">
        <v>#N/A</v>
      </c>
    </row>
    <row r="16" spans="2:22" x14ac:dyDescent="0.4">
      <c r="J16" t="s" vm="99">
        <v>31</v>
      </c>
      <c r="K16" vm="606">
        <v>76.2</v>
      </c>
      <c r="L16" vm="607">
        <v>0.3</v>
      </c>
      <c r="N16" t="s" vm="99">
        <v>31</v>
      </c>
      <c r="O16" vm="606">
        <v>76.2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605">
        <v>0.3</v>
      </c>
      <c r="V16" t="e">
        <v>#N/A</v>
      </c>
    </row>
    <row r="17" spans="10:22" x14ac:dyDescent="0.4">
      <c r="J17" t="s" vm="95">
        <v>30</v>
      </c>
      <c r="K17" vm="603">
        <v>79.5</v>
      </c>
      <c r="L17" vm="604">
        <v>1.6</v>
      </c>
      <c r="N17" t="s" vm="95">
        <v>30</v>
      </c>
      <c r="O17" vm="603">
        <v>79.5</v>
      </c>
      <c r="P17" t="e">
        <v>#N/A</v>
      </c>
      <c r="Q17" t="e">
        <v>#N/A</v>
      </c>
      <c r="R17" vm="602">
        <v>1.6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600">
        <v>81.7</v>
      </c>
      <c r="L18" vm="601">
        <v>0.4</v>
      </c>
      <c r="N18" t="s" vm="91">
        <v>29</v>
      </c>
      <c r="O18" vm="600">
        <v>81.7</v>
      </c>
      <c r="P18" t="e">
        <v>#N/A</v>
      </c>
      <c r="Q18" vm="599">
        <v>0.4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597">
        <v>81.099999999999994</v>
      </c>
      <c r="L19" vm="598">
        <v>0.5</v>
      </c>
      <c r="N19" t="s" vm="87">
        <v>28</v>
      </c>
      <c r="O19" vm="597">
        <v>81.099999999999994</v>
      </c>
      <c r="P19" t="e">
        <v>#N/A</v>
      </c>
      <c r="Q19" t="e">
        <v>#N/A</v>
      </c>
      <c r="R19" vm="596">
        <v>0.5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594">
        <v>79.8</v>
      </c>
      <c r="L20" vm="595">
        <v>-0.3</v>
      </c>
      <c r="N20" t="s" vm="83">
        <v>27</v>
      </c>
      <c r="O20" vm="594">
        <v>79.8</v>
      </c>
      <c r="P20" vm="593">
        <v>-0.3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591">
        <v>82.1</v>
      </c>
      <c r="L21" vm="592">
        <v>0.2</v>
      </c>
      <c r="N21" t="s" vm="79">
        <v>26</v>
      </c>
      <c r="O21" vm="591">
        <v>82.1</v>
      </c>
      <c r="P21" t="e">
        <v>#N/A</v>
      </c>
      <c r="Q21" vm="590">
        <v>0.2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588">
        <v>67.400000000000006</v>
      </c>
      <c r="L22" vm="589">
        <v>1.1000000000000001</v>
      </c>
      <c r="N22" t="s" vm="75">
        <v>25</v>
      </c>
      <c r="O22" vm="588">
        <v>67.400000000000006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587">
        <v>1.1000000000000001</v>
      </c>
    </row>
    <row r="23" spans="10:22" x14ac:dyDescent="0.4">
      <c r="J23" t="s" vm="71">
        <v>24</v>
      </c>
      <c r="K23" vm="585">
        <v>70.5</v>
      </c>
      <c r="L23" vm="586">
        <v>1.2</v>
      </c>
      <c r="N23" t="s" vm="71">
        <v>24</v>
      </c>
      <c r="O23" vm="585">
        <v>70.5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584">
        <v>1.2</v>
      </c>
    </row>
    <row r="24" spans="10:22" x14ac:dyDescent="0.4">
      <c r="J24" t="s" vm="67">
        <v>23</v>
      </c>
      <c r="K24" vm="582">
        <v>78.2</v>
      </c>
      <c r="L24" vm="583">
        <v>-0.2</v>
      </c>
      <c r="N24" t="s" vm="67">
        <v>23</v>
      </c>
      <c r="O24" vm="582">
        <v>78.2</v>
      </c>
      <c r="P24" t="e">
        <v>#N/A</v>
      </c>
      <c r="Q24" t="e">
        <v>#N/A</v>
      </c>
      <c r="R24" t="e">
        <v>#N/A</v>
      </c>
      <c r="S24" vm="581">
        <v>-0.2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579">
        <v>74.400000000000006</v>
      </c>
      <c r="L25" vm="580">
        <v>0.4</v>
      </c>
      <c r="N25" t="s" vm="63">
        <v>22</v>
      </c>
      <c r="O25" vm="579">
        <v>74.400000000000006</v>
      </c>
      <c r="P25" t="e">
        <v>#N/A</v>
      </c>
      <c r="Q25" t="e">
        <v>#N/A</v>
      </c>
      <c r="R25" t="e">
        <v>#N/A</v>
      </c>
      <c r="S25" vm="578">
        <v>0.4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576">
        <v>70.8</v>
      </c>
      <c r="L26" vm="577">
        <v>0.6</v>
      </c>
      <c r="N26" t="s" vm="59">
        <v>21</v>
      </c>
      <c r="O26" vm="576">
        <v>70.8</v>
      </c>
      <c r="P26" t="e">
        <v>#N/A</v>
      </c>
      <c r="Q26" t="e">
        <v>#N/A</v>
      </c>
      <c r="R26" t="e">
        <v>#N/A</v>
      </c>
      <c r="S26" t="e">
        <v>#N/A</v>
      </c>
      <c r="T26" vm="575">
        <v>0.6</v>
      </c>
      <c r="U26" t="e">
        <v>#N/A</v>
      </c>
      <c r="V26" t="e">
        <v>#N/A</v>
      </c>
    </row>
    <row r="27" spans="10:22" x14ac:dyDescent="0.4">
      <c r="J27" t="s" vm="55">
        <v>20</v>
      </c>
      <c r="K27" vm="573">
        <v>80.7</v>
      </c>
      <c r="L27" vm="574">
        <v>0.5</v>
      </c>
      <c r="N27" t="s" vm="55">
        <v>20</v>
      </c>
      <c r="O27" vm="573">
        <v>80.7</v>
      </c>
      <c r="P27" t="e">
        <v>#N/A</v>
      </c>
      <c r="Q27" t="e">
        <v>#N/A</v>
      </c>
      <c r="R27" vm="572">
        <v>0.5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570">
        <v>79.099999999999994</v>
      </c>
      <c r="L28" vm="571">
        <v>0.9</v>
      </c>
      <c r="N28" t="s" vm="51">
        <v>19</v>
      </c>
      <c r="O28" vm="570">
        <v>79.099999999999994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569">
        <v>0.9</v>
      </c>
      <c r="V28" t="e">
        <v>#N/A</v>
      </c>
    </row>
    <row r="29" spans="10:22" x14ac:dyDescent="0.4">
      <c r="J29" t="s" vm="47">
        <v>18</v>
      </c>
      <c r="K29" vm="567">
        <v>66.3</v>
      </c>
      <c r="L29" vm="568">
        <v>1.5</v>
      </c>
      <c r="N29" t="s" vm="47">
        <v>18</v>
      </c>
      <c r="O29" vm="567">
        <v>66.3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566">
        <v>1.5</v>
      </c>
    </row>
    <row r="30" spans="10:22" x14ac:dyDescent="0.4">
      <c r="J30" t="s" vm="43">
        <v>17</v>
      </c>
      <c r="K30" vm="564">
        <v>78.5</v>
      </c>
      <c r="L30" vm="565">
        <v>-0.5</v>
      </c>
      <c r="N30" t="s" vm="43">
        <v>17</v>
      </c>
      <c r="O30" vm="564">
        <v>78.5</v>
      </c>
      <c r="P30" t="e">
        <v>#N/A</v>
      </c>
      <c r="Q30" t="e">
        <v>#N/A</v>
      </c>
      <c r="R30" t="e">
        <v>#N/A</v>
      </c>
      <c r="S30" vm="563">
        <v>-0.5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561">
        <v>74.8</v>
      </c>
      <c r="L31" vm="562">
        <v>0</v>
      </c>
      <c r="N31" t="s" vm="39">
        <v>16</v>
      </c>
      <c r="O31" vm="561">
        <v>74.8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560">
        <v>0</v>
      </c>
      <c r="V31" t="e">
        <v>#N/A</v>
      </c>
    </row>
    <row r="32" spans="10:22" x14ac:dyDescent="0.4">
      <c r="J32" t="s" vm="35">
        <v>15</v>
      </c>
      <c r="K32" vm="558">
        <v>77.5</v>
      </c>
      <c r="L32" vm="559">
        <v>0.5</v>
      </c>
      <c r="N32" t="s" vm="35">
        <v>15</v>
      </c>
      <c r="O32" vm="558">
        <v>77.5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557">
        <v>0.5</v>
      </c>
      <c r="V32" t="e">
        <v>#N/A</v>
      </c>
    </row>
    <row r="33" spans="10:22" x14ac:dyDescent="0.4">
      <c r="J33" t="s" vm="31">
        <v>14</v>
      </c>
      <c r="K33" vm="555">
        <v>81.3</v>
      </c>
      <c r="L33" vm="556">
        <v>1.2</v>
      </c>
      <c r="N33" t="s" vm="31">
        <v>14</v>
      </c>
      <c r="O33" vm="555">
        <v>81.3</v>
      </c>
      <c r="P33" t="e">
        <v>#N/A</v>
      </c>
      <c r="Q33" t="e">
        <v>#N/A</v>
      </c>
      <c r="R33" vm="554">
        <v>1.2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552">
        <v>83.5</v>
      </c>
      <c r="L34" vm="553">
        <v>0.6</v>
      </c>
      <c r="N34" t="s" vm="27">
        <v>13</v>
      </c>
      <c r="O34" vm="552">
        <v>83.5</v>
      </c>
      <c r="P34" t="e">
        <v>#N/A</v>
      </c>
      <c r="Q34" vm="551">
        <v>0.6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549">
        <v>77.900000000000006</v>
      </c>
      <c r="L35" vm="550">
        <v>1.2</v>
      </c>
      <c r="N35" t="s" vm="23">
        <v>12</v>
      </c>
      <c r="O35" vm="549">
        <v>77.900000000000006</v>
      </c>
      <c r="P35" t="e">
        <v>#N/A</v>
      </c>
      <c r="Q35" t="e">
        <v>#N/A</v>
      </c>
      <c r="R35" vm="548">
        <v>1.2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546">
        <v>78</v>
      </c>
      <c r="L36" vm="547">
        <v>0.9</v>
      </c>
      <c r="N36" t="s" vm="19">
        <v>11</v>
      </c>
      <c r="O36" vm="546">
        <v>78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545">
        <v>0.9</v>
      </c>
      <c r="V36" t="e">
        <v>#N/A</v>
      </c>
    </row>
    <row r="37" spans="10:22" x14ac:dyDescent="0.4">
      <c r="J37" t="s" vm="15">
        <v>10</v>
      </c>
      <c r="K37" vm="543">
        <v>68.7</v>
      </c>
      <c r="L37" vm="544">
        <v>0.2</v>
      </c>
      <c r="N37" t="s" vm="15">
        <v>10</v>
      </c>
      <c r="O37" vm="543">
        <v>68.7</v>
      </c>
      <c r="P37" t="e">
        <v>#N/A</v>
      </c>
      <c r="Q37" t="e">
        <v>#N/A</v>
      </c>
      <c r="R37" t="e">
        <v>#N/A</v>
      </c>
      <c r="S37" t="e">
        <v>#N/A</v>
      </c>
      <c r="T37" vm="542">
        <v>0.2</v>
      </c>
      <c r="U37" t="e">
        <v>#N/A</v>
      </c>
      <c r="V37" t="e">
        <v>#N/A</v>
      </c>
    </row>
    <row r="38" spans="10:22" x14ac:dyDescent="0.4">
      <c r="J38" t="s" vm="11">
        <v>9</v>
      </c>
      <c r="K38" vm="540">
        <v>82.6</v>
      </c>
      <c r="L38" vm="541">
        <v>0.6</v>
      </c>
      <c r="N38" t="s" vm="11">
        <v>9</v>
      </c>
      <c r="O38" vm="540">
        <v>82.6</v>
      </c>
      <c r="P38" t="e">
        <v>#N/A</v>
      </c>
      <c r="Q38" vm="539">
        <v>0.6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537">
        <v>77.5</v>
      </c>
      <c r="L39" vm="538">
        <v>-0.4</v>
      </c>
      <c r="N39" t="s" vm="7">
        <v>8</v>
      </c>
      <c r="O39" vm="537">
        <v>77.5</v>
      </c>
      <c r="P39" t="e">
        <v>#N/A</v>
      </c>
      <c r="Q39" t="e">
        <v>#N/A</v>
      </c>
      <c r="R39" t="e">
        <v>#N/A</v>
      </c>
      <c r="S39" vm="536">
        <v>-0.4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534">
        <v>77.5</v>
      </c>
      <c r="L40" vm="535">
        <v>0.8</v>
      </c>
      <c r="N40" t="s" vm="3">
        <v>7</v>
      </c>
      <c r="O40" vm="534">
        <v>77.5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533">
        <v>0.8</v>
      </c>
      <c r="V40" t="e">
        <v>#N/A</v>
      </c>
    </row>
    <row r="43" spans="10:22" x14ac:dyDescent="0.4">
      <c r="J43" t="s">
        <v>6</v>
      </c>
      <c r="K43" s="1">
        <v>66.3</v>
      </c>
      <c r="L43" s="1">
        <v>-0.5</v>
      </c>
    </row>
    <row r="44" spans="10:22" x14ac:dyDescent="0.4">
      <c r="J44" t="s">
        <v>5</v>
      </c>
      <c r="K44" s="1">
        <v>83.5</v>
      </c>
      <c r="L44" s="1">
        <v>1.6</v>
      </c>
    </row>
    <row r="45" spans="10:22" x14ac:dyDescent="0.4">
      <c r="J45" t="s">
        <v>4</v>
      </c>
      <c r="K45" s="1">
        <v>76.848148148148141</v>
      </c>
      <c r="L45" s="2">
        <v>0.51481481481481473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66.3</v>
      </c>
      <c r="L48">
        <v>0.51481481481481473</v>
      </c>
    </row>
    <row r="49" spans="10:12" x14ac:dyDescent="0.4">
      <c r="K49" s="1">
        <v>83.5</v>
      </c>
      <c r="L49" s="2">
        <v>0.51481481481481473</v>
      </c>
    </row>
    <row r="51" spans="10:12" x14ac:dyDescent="0.4">
      <c r="J51" t="s">
        <v>0</v>
      </c>
      <c r="K51" s="2">
        <v>76.848148148148141</v>
      </c>
      <c r="L51" s="1">
        <v>-0.5</v>
      </c>
    </row>
    <row r="52" spans="10:12" x14ac:dyDescent="0.4">
      <c r="K52" s="2">
        <v>76.848148148148141</v>
      </c>
      <c r="L52" s="1">
        <v>1.6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16</xdr:col>
                    <xdr:colOff>489857</xdr:colOff>
                    <xdr:row>44</xdr:row>
                    <xdr:rowOff>174171</xdr:rowOff>
                  </from>
                  <to>
                    <xdr:col>20</xdr:col>
                    <xdr:colOff>195943</xdr:colOff>
                    <xdr:row>51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1FDB-FC4B-423B-B566-A989DC288D40}">
  <sheetPr codeName="Sheet10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697">
        <f>K6</f>
        <v>2023</v>
      </c>
      <c r="C5" s="34"/>
      <c r="D5" s="34"/>
      <c r="E5" s="34"/>
      <c r="F5" s="34"/>
      <c r="G5" s="35"/>
      <c r="J5" t="s">
        <v>49</v>
      </c>
      <c r="K5" t="s" vm="698">
        <v>69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697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68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67</v>
      </c>
    </row>
    <row r="10" spans="2:22" ht="16.75" thickTop="1" thickBot="1" x14ac:dyDescent="0.45">
      <c r="B10" s="14" t="s">
        <v>97</v>
      </c>
      <c r="C10" s="15"/>
      <c r="D10" s="16"/>
      <c r="E10" s="17" t="s">
        <v>141</v>
      </c>
      <c r="F10" s="16" t="s">
        <v>29</v>
      </c>
      <c r="G10" s="18"/>
    </row>
    <row r="11" spans="2:22" ht="16.3" thickBot="1" x14ac:dyDescent="0.45">
      <c r="B11" s="19" t="s">
        <v>98</v>
      </c>
      <c r="C11" s="20"/>
      <c r="D11" s="21" t="s">
        <v>8</v>
      </c>
      <c r="E11" s="21" t="s">
        <v>142</v>
      </c>
      <c r="F11" s="22" t="s">
        <v>20</v>
      </c>
      <c r="G11" s="23"/>
    </row>
    <row r="12" spans="2:22" ht="16.3" thickBot="1" x14ac:dyDescent="0.45">
      <c r="B12" s="19" t="s">
        <v>94</v>
      </c>
      <c r="C12" s="20" t="s">
        <v>143</v>
      </c>
      <c r="D12" s="24" t="s">
        <v>144</v>
      </c>
      <c r="E12" s="24" t="s">
        <v>121</v>
      </c>
      <c r="F12" s="24" t="s">
        <v>145</v>
      </c>
      <c r="G12" s="25" t="s">
        <v>146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18</v>
      </c>
      <c r="E13" s="28" t="s">
        <v>147</v>
      </c>
      <c r="F13" s="28" t="s">
        <v>23</v>
      </c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/>
      <c r="E14" s="31"/>
      <c r="F14" s="31"/>
      <c r="G14" s="32"/>
      <c r="J14" t="s" vm="107">
        <v>33</v>
      </c>
      <c r="K14" vm="695">
        <v>5.0999999999999996</v>
      </c>
      <c r="L14" vm="696">
        <v>0.3</v>
      </c>
      <c r="N14" t="s" vm="107">
        <v>33</v>
      </c>
      <c r="O14" vm="695">
        <v>5.0999999999999996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694">
        <v>0.3</v>
      </c>
      <c r="V14" t="e">
        <v>#N/A</v>
      </c>
    </row>
    <row r="15" spans="2:22" ht="15" thickTop="1" x14ac:dyDescent="0.4">
      <c r="J15" t="s" vm="103">
        <v>32</v>
      </c>
      <c r="K15" vm="692">
        <v>5.5</v>
      </c>
      <c r="L15" vm="693">
        <v>-0.1</v>
      </c>
      <c r="N15" t="s" vm="103">
        <v>32</v>
      </c>
      <c r="O15" vm="692">
        <v>5.5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691">
        <v>-0.1</v>
      </c>
      <c r="V15" t="e">
        <v>#N/A</v>
      </c>
    </row>
    <row r="16" spans="2:22" x14ac:dyDescent="0.4">
      <c r="J16" t="s" vm="99">
        <v>31</v>
      </c>
      <c r="K16" vm="689">
        <v>4.3</v>
      </c>
      <c r="L16" vm="690">
        <v>0.1</v>
      </c>
      <c r="N16" t="s" vm="99">
        <v>31</v>
      </c>
      <c r="O16" vm="689">
        <v>4.3</v>
      </c>
      <c r="P16" t="e">
        <v>#N/A</v>
      </c>
      <c r="Q16" t="e">
        <v>#N/A</v>
      </c>
      <c r="R16" vm="688">
        <v>0.1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686">
        <v>5.8</v>
      </c>
      <c r="L17" vm="687">
        <v>-1</v>
      </c>
      <c r="N17" t="s" vm="95">
        <v>30</v>
      </c>
      <c r="O17" vm="686">
        <v>5.8</v>
      </c>
      <c r="P17" t="e">
        <v>#N/A</v>
      </c>
      <c r="Q17" t="e">
        <v>#N/A</v>
      </c>
      <c r="R17" vm="685">
        <v>-1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683">
        <v>2.6</v>
      </c>
      <c r="L18" vm="684">
        <v>0.4</v>
      </c>
      <c r="N18" t="s" vm="91">
        <v>29</v>
      </c>
      <c r="O18" vm="683">
        <v>2.6</v>
      </c>
      <c r="P18" t="e">
        <v>#N/A</v>
      </c>
      <c r="Q18" vm="682">
        <v>0.4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680">
        <v>3.1</v>
      </c>
      <c r="L19" vm="681">
        <v>-0.1</v>
      </c>
      <c r="N19" t="s" vm="87">
        <v>28</v>
      </c>
      <c r="O19" vm="680">
        <v>3.1</v>
      </c>
      <c r="P19" t="e">
        <v>#N/A</v>
      </c>
      <c r="Q19" vm="679">
        <v>-0.1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677">
        <v>5.0999999999999996</v>
      </c>
      <c r="L20" vm="678">
        <v>0.6</v>
      </c>
      <c r="N20" t="s" vm="83">
        <v>27</v>
      </c>
      <c r="O20" vm="677">
        <v>5.0999999999999996</v>
      </c>
      <c r="P20" t="e">
        <v>#N/A</v>
      </c>
      <c r="Q20" t="e">
        <v>#N/A</v>
      </c>
      <c r="R20" t="e">
        <v>#N/A</v>
      </c>
      <c r="S20" vm="676">
        <v>0.6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674">
        <v>6.4</v>
      </c>
      <c r="L21" vm="675">
        <v>0.8</v>
      </c>
      <c r="N21" t="s" vm="79">
        <v>26</v>
      </c>
      <c r="O21" vm="674">
        <v>6.4</v>
      </c>
      <c r="P21" t="e">
        <v>#N/A</v>
      </c>
      <c r="Q21" t="e">
        <v>#N/A</v>
      </c>
      <c r="R21" t="e">
        <v>#N/A</v>
      </c>
      <c r="S21" vm="673">
        <v>0.8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671">
        <v>11.1</v>
      </c>
      <c r="L22" vm="672">
        <v>-1.4</v>
      </c>
      <c r="N22" t="s" vm="75">
        <v>25</v>
      </c>
      <c r="O22" vm="671">
        <v>11.1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670">
        <v>-1.4</v>
      </c>
    </row>
    <row r="23" spans="10:22" x14ac:dyDescent="0.4">
      <c r="J23" t="s" vm="71">
        <v>24</v>
      </c>
      <c r="K23" vm="668">
        <v>12.2</v>
      </c>
      <c r="L23" vm="669">
        <v>-0.8</v>
      </c>
      <c r="N23" t="s" vm="71">
        <v>24</v>
      </c>
      <c r="O23" vm="668">
        <v>12.2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667">
        <v>-0.8</v>
      </c>
    </row>
    <row r="24" spans="10:22" x14ac:dyDescent="0.4">
      <c r="J24" t="s" vm="67">
        <v>23</v>
      </c>
      <c r="K24" vm="665">
        <v>7.2</v>
      </c>
      <c r="L24" vm="666">
        <v>0.4</v>
      </c>
      <c r="N24" t="s" vm="67">
        <v>23</v>
      </c>
      <c r="O24" vm="665">
        <v>7.2</v>
      </c>
      <c r="P24" t="e">
        <v>#N/A</v>
      </c>
      <c r="Q24" t="e">
        <v>#N/A</v>
      </c>
      <c r="R24" t="e">
        <v>#N/A</v>
      </c>
      <c r="S24" vm="664">
        <v>0.4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662">
        <v>7.3</v>
      </c>
      <c r="L25" vm="663">
        <v>0</v>
      </c>
      <c r="N25" t="s" vm="63">
        <v>22</v>
      </c>
      <c r="O25" vm="662">
        <v>7.3</v>
      </c>
      <c r="P25" t="e">
        <v>#N/A</v>
      </c>
      <c r="Q25" t="e">
        <v>#N/A</v>
      </c>
      <c r="R25" t="e">
        <v>#N/A</v>
      </c>
      <c r="S25" vm="661">
        <v>0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659">
        <v>6.1</v>
      </c>
      <c r="L26" vm="660">
        <v>-0.7</v>
      </c>
      <c r="N26" t="s" vm="59">
        <v>21</v>
      </c>
      <c r="O26" vm="659">
        <v>6.1</v>
      </c>
      <c r="P26" t="e">
        <v>#N/A</v>
      </c>
      <c r="Q26" t="e">
        <v>#N/A</v>
      </c>
      <c r="R26" vm="658">
        <v>-0.7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656">
        <v>4.0999999999999996</v>
      </c>
      <c r="L27" vm="657">
        <v>0.5</v>
      </c>
      <c r="N27" t="s" vm="55">
        <v>20</v>
      </c>
      <c r="O27" vm="656">
        <v>4.0999999999999996</v>
      </c>
      <c r="P27" t="e">
        <v>#N/A</v>
      </c>
      <c r="Q27" t="e">
        <v>#N/A</v>
      </c>
      <c r="R27" vm="655">
        <v>0.5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653">
        <v>4.3</v>
      </c>
      <c r="L28" vm="654">
        <v>-0.2</v>
      </c>
      <c r="N28" t="s" vm="51">
        <v>19</v>
      </c>
      <c r="O28" vm="653">
        <v>4.3</v>
      </c>
      <c r="P28" t="e">
        <v>#N/A</v>
      </c>
      <c r="Q28" t="e">
        <v>#N/A</v>
      </c>
      <c r="R28" vm="652">
        <v>-0.2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650">
        <v>7.7</v>
      </c>
      <c r="L29" vm="651">
        <v>-0.4</v>
      </c>
      <c r="N29" t="s" vm="47">
        <v>18</v>
      </c>
      <c r="O29" vm="650">
        <v>7.7</v>
      </c>
      <c r="P29" t="e">
        <v>#N/A</v>
      </c>
      <c r="Q29" t="e">
        <v>#N/A</v>
      </c>
      <c r="R29" t="e">
        <v>#N/A</v>
      </c>
      <c r="S29" vm="649">
        <v>-0.4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647">
        <v>6.9</v>
      </c>
      <c r="L30" vm="648">
        <v>0.9</v>
      </c>
      <c r="N30" t="s" vm="43">
        <v>17</v>
      </c>
      <c r="O30" vm="647">
        <v>6.9</v>
      </c>
      <c r="P30" t="e">
        <v>#N/A</v>
      </c>
      <c r="Q30" t="e">
        <v>#N/A</v>
      </c>
      <c r="R30" t="e">
        <v>#N/A</v>
      </c>
      <c r="S30" vm="646">
        <v>0.9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644">
        <v>5.2</v>
      </c>
      <c r="L31" vm="645">
        <v>0.6</v>
      </c>
      <c r="N31" t="s" vm="39">
        <v>16</v>
      </c>
      <c r="O31" vm="644">
        <v>5.2</v>
      </c>
      <c r="P31" t="e">
        <v>#N/A</v>
      </c>
      <c r="Q31" t="e">
        <v>#N/A</v>
      </c>
      <c r="R31" t="e">
        <v>#N/A</v>
      </c>
      <c r="S31" vm="643">
        <v>0.6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641">
        <v>6.5</v>
      </c>
      <c r="L32" vm="642">
        <v>-0.4</v>
      </c>
      <c r="N32" t="s" vm="35">
        <v>15</v>
      </c>
      <c r="O32" vm="641">
        <v>6.5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640">
        <v>-0.4</v>
      </c>
      <c r="V32" t="e">
        <v>#N/A</v>
      </c>
    </row>
    <row r="33" spans="10:22" x14ac:dyDescent="0.4">
      <c r="J33" t="s" vm="31">
        <v>14</v>
      </c>
      <c r="K33" vm="638">
        <v>3.5</v>
      </c>
      <c r="L33" vm="639">
        <v>0</v>
      </c>
      <c r="N33" t="s" vm="31">
        <v>14</v>
      </c>
      <c r="O33" vm="638">
        <v>3.5</v>
      </c>
      <c r="P33" t="e">
        <v>#N/A</v>
      </c>
      <c r="Q33" vm="637">
        <v>0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635">
        <v>3.6</v>
      </c>
      <c r="L34" vm="636">
        <v>0.1</v>
      </c>
      <c r="N34" t="s" vm="27">
        <v>13</v>
      </c>
      <c r="O34" vm="635">
        <v>3.6</v>
      </c>
      <c r="P34" t="e">
        <v>#N/A</v>
      </c>
      <c r="Q34" t="e">
        <v>#N/A</v>
      </c>
      <c r="R34" vm="634">
        <v>0.1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632">
        <v>2.8</v>
      </c>
      <c r="L35" vm="633">
        <v>-0.1</v>
      </c>
      <c r="N35" t="s" vm="23">
        <v>12</v>
      </c>
      <c r="O35" vm="632">
        <v>2.8</v>
      </c>
      <c r="P35" t="e">
        <v>#N/A</v>
      </c>
      <c r="Q35" vm="631">
        <v>-0.1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629">
        <v>6.5</v>
      </c>
      <c r="L36" vm="630">
        <v>0.3</v>
      </c>
      <c r="N36" t="s" vm="19">
        <v>11</v>
      </c>
      <c r="O36" vm="629">
        <v>6.5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628">
        <v>0.3</v>
      </c>
      <c r="V36" t="e">
        <v>#N/A</v>
      </c>
    </row>
    <row r="37" spans="10:22" x14ac:dyDescent="0.4">
      <c r="J37" t="s" vm="15">
        <v>10</v>
      </c>
      <c r="K37" vm="626">
        <v>5.6</v>
      </c>
      <c r="L37" vm="627">
        <v>0</v>
      </c>
      <c r="N37" t="s" vm="15">
        <v>10</v>
      </c>
      <c r="O37" vm="626">
        <v>5.6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625">
        <v>0</v>
      </c>
      <c r="V37" t="e">
        <v>#N/A</v>
      </c>
    </row>
    <row r="38" spans="10:22" x14ac:dyDescent="0.4">
      <c r="J38" t="s" vm="11">
        <v>9</v>
      </c>
      <c r="K38" vm="623">
        <v>7.7</v>
      </c>
      <c r="L38" vm="624">
        <v>0.2</v>
      </c>
      <c r="N38" t="s" vm="11">
        <v>9</v>
      </c>
      <c r="O38" vm="623">
        <v>7.7</v>
      </c>
      <c r="P38" t="e">
        <v>#N/A</v>
      </c>
      <c r="Q38" t="e">
        <v>#N/A</v>
      </c>
      <c r="R38" t="e">
        <v>#N/A</v>
      </c>
      <c r="S38" vm="622">
        <v>0.2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620">
        <v>3.7</v>
      </c>
      <c r="L39" vm="621">
        <v>-0.3</v>
      </c>
      <c r="N39" t="s" vm="7">
        <v>8</v>
      </c>
      <c r="O39" vm="620">
        <v>3.7</v>
      </c>
      <c r="P39" t="e">
        <v>#N/A</v>
      </c>
      <c r="Q39" t="e">
        <v>#N/A</v>
      </c>
      <c r="R39" vm="619">
        <v>-0.3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617">
        <v>5.8</v>
      </c>
      <c r="L40" vm="618">
        <v>-0.3</v>
      </c>
      <c r="N40" t="s" vm="3">
        <v>7</v>
      </c>
      <c r="O40" vm="617">
        <v>5.8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616">
        <v>-0.3</v>
      </c>
      <c r="V40" t="e">
        <v>#N/A</v>
      </c>
    </row>
    <row r="43" spans="10:22" x14ac:dyDescent="0.4">
      <c r="J43" t="s">
        <v>6</v>
      </c>
      <c r="K43" s="1">
        <v>2.6</v>
      </c>
      <c r="L43" s="1">
        <v>-1.4</v>
      </c>
    </row>
    <row r="44" spans="10:22" x14ac:dyDescent="0.4">
      <c r="J44" t="s">
        <v>5</v>
      </c>
      <c r="K44" s="1">
        <v>12.2</v>
      </c>
      <c r="L44" s="1">
        <v>0.9</v>
      </c>
    </row>
    <row r="45" spans="10:22" x14ac:dyDescent="0.4">
      <c r="J45" t="s">
        <v>4</v>
      </c>
      <c r="K45" s="1">
        <v>5.7666666666666648</v>
      </c>
      <c r="L45" s="2">
        <v>-2.2222222222222227E-2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2.6</v>
      </c>
      <c r="L48">
        <v>-2.2222222222222227E-2</v>
      </c>
    </row>
    <row r="49" spans="10:12" x14ac:dyDescent="0.4">
      <c r="K49" s="1">
        <v>12.2</v>
      </c>
      <c r="L49" s="2">
        <v>-2.2222222222222227E-2</v>
      </c>
    </row>
    <row r="51" spans="10:12" x14ac:dyDescent="0.4">
      <c r="J51" t="s">
        <v>0</v>
      </c>
      <c r="K51" s="2">
        <v>5.7666666666666648</v>
      </c>
      <c r="L51" s="1">
        <v>-1.4</v>
      </c>
    </row>
    <row r="52" spans="10:12" x14ac:dyDescent="0.4">
      <c r="K52" s="2">
        <v>5.7666666666666648</v>
      </c>
      <c r="L52" s="1">
        <v>0.9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17</xdr:col>
                    <xdr:colOff>10886</xdr:colOff>
                    <xdr:row>43</xdr:row>
                    <xdr:rowOff>174171</xdr:rowOff>
                  </from>
                  <to>
                    <xdr:col>20</xdr:col>
                    <xdr:colOff>310243</xdr:colOff>
                    <xdr:row>50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9AFB3-03E8-4CA8-B3A8-185FEE5A0257}">
  <sheetPr codeName="Sheet11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780">
        <f>K6</f>
        <v>2023</v>
      </c>
      <c r="C5" s="34"/>
      <c r="D5" s="34"/>
      <c r="E5" s="34"/>
      <c r="F5" s="34"/>
      <c r="G5" s="35"/>
      <c r="J5" t="s">
        <v>49</v>
      </c>
      <c r="K5" t="s" vm="781">
        <v>72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78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71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70</v>
      </c>
    </row>
    <row r="10" spans="2:22" ht="16.75" thickTop="1" thickBot="1" x14ac:dyDescent="0.45">
      <c r="B10" s="14" t="s">
        <v>97</v>
      </c>
      <c r="C10" s="15"/>
      <c r="D10" s="16"/>
      <c r="E10" s="17" t="s">
        <v>13</v>
      </c>
      <c r="F10" s="16" t="s">
        <v>27</v>
      </c>
      <c r="G10" s="18"/>
    </row>
    <row r="11" spans="2:22" ht="16.3" thickBot="1" x14ac:dyDescent="0.45">
      <c r="B11" s="19" t="s">
        <v>98</v>
      </c>
      <c r="C11" s="20"/>
      <c r="D11" s="21" t="s">
        <v>14</v>
      </c>
      <c r="E11" s="21" t="s">
        <v>169</v>
      </c>
      <c r="F11" s="22" t="s">
        <v>26</v>
      </c>
      <c r="G11" s="23" t="s">
        <v>29</v>
      </c>
    </row>
    <row r="12" spans="2:22" ht="16.3" thickBot="1" x14ac:dyDescent="0.45">
      <c r="B12" s="19" t="s">
        <v>94</v>
      </c>
      <c r="C12" s="20"/>
      <c r="D12" s="24" t="s">
        <v>30</v>
      </c>
      <c r="E12" s="24" t="s">
        <v>170</v>
      </c>
      <c r="F12" s="24" t="s">
        <v>171</v>
      </c>
      <c r="G12" s="25" t="s">
        <v>172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 t="s">
        <v>18</v>
      </c>
      <c r="E14" s="31" t="s">
        <v>7</v>
      </c>
      <c r="F14" s="31"/>
      <c r="G14" s="32"/>
      <c r="J14" t="s" vm="107">
        <v>33</v>
      </c>
      <c r="K14" vm="778">
        <v>1.1000000000000001</v>
      </c>
      <c r="L14" vm="779">
        <v>-0.1</v>
      </c>
      <c r="N14" t="s" vm="107">
        <v>33</v>
      </c>
      <c r="O14" vm="778">
        <v>1.1000000000000001</v>
      </c>
      <c r="P14" t="e">
        <v>#N/A</v>
      </c>
      <c r="Q14" t="e">
        <v>#N/A</v>
      </c>
      <c r="R14" vm="777">
        <v>-0.1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775">
        <v>2.2000000000000002</v>
      </c>
      <c r="L15" vm="776">
        <v>-0.1</v>
      </c>
      <c r="N15" t="s" vm="103">
        <v>32</v>
      </c>
      <c r="O15" vm="775">
        <v>2.2000000000000002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774">
        <v>-0.1</v>
      </c>
      <c r="V15" t="e">
        <v>#N/A</v>
      </c>
    </row>
    <row r="16" spans="2:22" x14ac:dyDescent="0.4">
      <c r="J16" t="s" vm="99">
        <v>31</v>
      </c>
      <c r="K16" vm="772">
        <v>2.2999999999999998</v>
      </c>
      <c r="L16" vm="773">
        <v>0.1</v>
      </c>
      <c r="N16" t="s" vm="99">
        <v>31</v>
      </c>
      <c r="O16" vm="772">
        <v>2.2999999999999998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vm="771">
        <v>0.1</v>
      </c>
      <c r="V16" t="e">
        <v>#N/A</v>
      </c>
    </row>
    <row r="17" spans="10:22" x14ac:dyDescent="0.4">
      <c r="J17" t="s" vm="95">
        <v>30</v>
      </c>
      <c r="K17" vm="769">
        <v>1.8</v>
      </c>
      <c r="L17" vm="770">
        <v>-0.5</v>
      </c>
      <c r="N17" t="s" vm="95">
        <v>30</v>
      </c>
      <c r="O17" vm="769">
        <v>1.8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768">
        <v>-0.5</v>
      </c>
      <c r="V17" t="e">
        <v>#N/A</v>
      </c>
    </row>
    <row r="18" spans="10:22" x14ac:dyDescent="0.4">
      <c r="J18" t="s" vm="91">
        <v>29</v>
      </c>
      <c r="K18" vm="766">
        <v>0.8</v>
      </c>
      <c r="L18" vm="767">
        <v>0.2</v>
      </c>
      <c r="N18" t="s" vm="91">
        <v>29</v>
      </c>
      <c r="O18" vm="766">
        <v>0.8</v>
      </c>
      <c r="P18" vm="765">
        <v>0.2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763">
        <v>1</v>
      </c>
      <c r="L19" vm="764">
        <v>-0.1</v>
      </c>
      <c r="N19" t="s" vm="87">
        <v>28</v>
      </c>
      <c r="O19" vm="763">
        <v>1</v>
      </c>
      <c r="P19" t="e">
        <v>#N/A</v>
      </c>
      <c r="Q19" t="e">
        <v>#N/A</v>
      </c>
      <c r="R19" vm="762">
        <v>-0.1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760">
        <v>0.5</v>
      </c>
      <c r="L20" vm="761">
        <v>0</v>
      </c>
      <c r="N20" t="s" vm="83">
        <v>27</v>
      </c>
      <c r="O20" vm="760">
        <v>0.5</v>
      </c>
      <c r="P20" t="e">
        <v>#N/A</v>
      </c>
      <c r="Q20" vm="759">
        <v>0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757">
        <v>1.3</v>
      </c>
      <c r="L21" vm="758">
        <v>0</v>
      </c>
      <c r="N21" t="s" vm="79">
        <v>26</v>
      </c>
      <c r="O21" vm="757">
        <v>1.3</v>
      </c>
      <c r="P21" t="e">
        <v>#N/A</v>
      </c>
      <c r="Q21" t="e">
        <v>#N/A</v>
      </c>
      <c r="R21" vm="756">
        <v>0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754">
        <v>6.2</v>
      </c>
      <c r="L22" vm="755">
        <v>-1.5</v>
      </c>
      <c r="N22" t="s" vm="75">
        <v>25</v>
      </c>
      <c r="O22" vm="754">
        <v>6.2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753">
        <v>-1.5</v>
      </c>
    </row>
    <row r="23" spans="10:22" x14ac:dyDescent="0.4">
      <c r="J23" t="s" vm="71">
        <v>24</v>
      </c>
      <c r="K23" vm="751">
        <v>4.3</v>
      </c>
      <c r="L23" vm="752">
        <v>-0.8</v>
      </c>
      <c r="N23" t="s" vm="71">
        <v>24</v>
      </c>
      <c r="O23" vm="751">
        <v>4.3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750">
        <v>-0.8</v>
      </c>
    </row>
    <row r="24" spans="10:22" x14ac:dyDescent="0.4">
      <c r="J24" t="s" vm="67">
        <v>23</v>
      </c>
      <c r="K24" vm="748">
        <v>1.6</v>
      </c>
      <c r="L24" vm="749">
        <v>0.1</v>
      </c>
      <c r="N24" t="s" vm="67">
        <v>23</v>
      </c>
      <c r="O24" vm="748">
        <v>1.6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747">
        <v>0.1</v>
      </c>
      <c r="V24" t="e">
        <v>#N/A</v>
      </c>
    </row>
    <row r="25" spans="10:22" x14ac:dyDescent="0.4">
      <c r="J25" t="s" vm="63">
        <v>22</v>
      </c>
      <c r="K25" vm="745">
        <v>1.8</v>
      </c>
      <c r="L25" vm="746">
        <v>-0.2</v>
      </c>
      <c r="N25" t="s" vm="63">
        <v>22</v>
      </c>
      <c r="O25" vm="745">
        <v>1.8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744">
        <v>-0.2</v>
      </c>
      <c r="V25" t="e">
        <v>#N/A</v>
      </c>
    </row>
    <row r="26" spans="10:22" x14ac:dyDescent="0.4">
      <c r="J26" t="s" vm="59">
        <v>21</v>
      </c>
      <c r="K26" vm="742">
        <v>2.1</v>
      </c>
      <c r="L26" vm="743">
        <v>-0.3</v>
      </c>
      <c r="N26" t="s" vm="59">
        <v>21</v>
      </c>
      <c r="O26" vm="742">
        <v>2.1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741">
        <v>-0.3</v>
      </c>
      <c r="V26" t="e">
        <v>#N/A</v>
      </c>
    </row>
    <row r="27" spans="10:22" x14ac:dyDescent="0.4">
      <c r="J27" t="s" vm="55">
        <v>20</v>
      </c>
      <c r="K27" vm="739">
        <v>1.4</v>
      </c>
      <c r="L27" vm="740">
        <v>0.2</v>
      </c>
      <c r="N27" t="s" vm="55">
        <v>20</v>
      </c>
      <c r="O27" vm="739">
        <v>1.4</v>
      </c>
      <c r="P27" t="e">
        <v>#N/A</v>
      </c>
      <c r="Q27" t="e">
        <v>#N/A</v>
      </c>
      <c r="R27" t="e">
        <v>#N/A</v>
      </c>
      <c r="S27" vm="738">
        <v>0.2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736">
        <v>1.1000000000000001</v>
      </c>
      <c r="L28" vm="737">
        <v>-0.2</v>
      </c>
      <c r="N28" t="s" vm="51">
        <v>19</v>
      </c>
      <c r="O28" vm="736">
        <v>1.1000000000000001</v>
      </c>
      <c r="P28" t="e">
        <v>#N/A</v>
      </c>
      <c r="Q28" t="e">
        <v>#N/A</v>
      </c>
      <c r="R28" vm="735">
        <v>-0.2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733">
        <v>4.2</v>
      </c>
      <c r="L29" vm="734">
        <v>-0.4</v>
      </c>
      <c r="N29" t="s" vm="47">
        <v>18</v>
      </c>
      <c r="O29" vm="733">
        <v>4.2</v>
      </c>
      <c r="P29" t="e">
        <v>#N/A</v>
      </c>
      <c r="Q29" t="e">
        <v>#N/A</v>
      </c>
      <c r="R29" t="e">
        <v>#N/A</v>
      </c>
      <c r="S29" t="e">
        <v>#N/A</v>
      </c>
      <c r="T29" vm="732">
        <v>-0.4</v>
      </c>
      <c r="U29" t="e">
        <v>#N/A</v>
      </c>
      <c r="V29" t="e">
        <v>#N/A</v>
      </c>
    </row>
    <row r="30" spans="10:22" x14ac:dyDescent="0.4">
      <c r="J30" t="s" vm="43">
        <v>17</v>
      </c>
      <c r="K30" vm="730">
        <v>2.2999999999999998</v>
      </c>
      <c r="L30" vm="731">
        <v>0</v>
      </c>
      <c r="N30" t="s" vm="43">
        <v>17</v>
      </c>
      <c r="O30" vm="730">
        <v>2.2999999999999998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729">
        <v>0</v>
      </c>
      <c r="V30" t="e">
        <v>#N/A</v>
      </c>
    </row>
    <row r="31" spans="10:22" x14ac:dyDescent="0.4">
      <c r="J31" t="s" vm="39">
        <v>16</v>
      </c>
      <c r="K31" vm="727">
        <v>1.7</v>
      </c>
      <c r="L31" vm="728">
        <v>0.4</v>
      </c>
      <c r="N31" t="s" vm="39">
        <v>16</v>
      </c>
      <c r="O31" vm="727">
        <v>1.7</v>
      </c>
      <c r="P31" t="e">
        <v>#N/A</v>
      </c>
      <c r="Q31" t="e">
        <v>#N/A</v>
      </c>
      <c r="R31" t="e">
        <v>#N/A</v>
      </c>
      <c r="S31" vm="726">
        <v>0.4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724">
        <v>1.8</v>
      </c>
      <c r="L32" vm="725">
        <v>-0.2</v>
      </c>
      <c r="N32" t="s" vm="35">
        <v>15</v>
      </c>
      <c r="O32" vm="724">
        <v>1.8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723">
        <v>-0.2</v>
      </c>
      <c r="V32" t="e">
        <v>#N/A</v>
      </c>
    </row>
    <row r="33" spans="10:22" x14ac:dyDescent="0.4">
      <c r="J33" t="s" vm="31">
        <v>14</v>
      </c>
      <c r="K33" vm="721">
        <v>0.8</v>
      </c>
      <c r="L33" vm="722">
        <v>-0.4</v>
      </c>
      <c r="N33" t="s" vm="31">
        <v>14</v>
      </c>
      <c r="O33" vm="721">
        <v>0.8</v>
      </c>
      <c r="P33" t="e">
        <v>#N/A</v>
      </c>
      <c r="Q33" t="e">
        <v>#N/A</v>
      </c>
      <c r="R33" vm="720">
        <v>-0.4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718">
        <v>0.5</v>
      </c>
      <c r="L34" vm="719">
        <v>-0.2</v>
      </c>
      <c r="N34" t="s" vm="27">
        <v>13</v>
      </c>
      <c r="O34" vm="718">
        <v>0.5</v>
      </c>
      <c r="P34" t="e">
        <v>#N/A</v>
      </c>
      <c r="Q34" vm="717">
        <v>-0.2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715">
        <v>0.8</v>
      </c>
      <c r="L35" vm="716">
        <v>-0.1</v>
      </c>
      <c r="N35" t="s" vm="23">
        <v>12</v>
      </c>
      <c r="O35" vm="715">
        <v>0.8</v>
      </c>
      <c r="P35" t="e">
        <v>#N/A</v>
      </c>
      <c r="Q35" t="e">
        <v>#N/A</v>
      </c>
      <c r="R35" vm="714">
        <v>-0.1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712">
        <v>2.5</v>
      </c>
      <c r="L36" vm="713">
        <v>-0.3</v>
      </c>
      <c r="N36" t="s" vm="19">
        <v>11</v>
      </c>
      <c r="O36" vm="712">
        <v>2.5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711">
        <v>-0.3</v>
      </c>
      <c r="V36" t="e">
        <v>#N/A</v>
      </c>
    </row>
    <row r="37" spans="10:22" x14ac:dyDescent="0.4">
      <c r="J37" t="s" vm="15">
        <v>10</v>
      </c>
      <c r="K37" vm="709">
        <v>2.2000000000000002</v>
      </c>
      <c r="L37" vm="710">
        <v>0</v>
      </c>
      <c r="N37" t="s" vm="15">
        <v>10</v>
      </c>
      <c r="O37" vm="709">
        <v>2.2000000000000002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708">
        <v>0</v>
      </c>
      <c r="V37" t="e">
        <v>#N/A</v>
      </c>
    </row>
    <row r="38" spans="10:22" x14ac:dyDescent="0.4">
      <c r="J38" t="s" vm="11">
        <v>9</v>
      </c>
      <c r="K38" vm="706">
        <v>1.6</v>
      </c>
      <c r="L38" vm="707">
        <v>-0.3</v>
      </c>
      <c r="N38" t="s" vm="11">
        <v>9</v>
      </c>
      <c r="O38" vm="706">
        <v>1.6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705">
        <v>-0.3</v>
      </c>
      <c r="V38" t="e">
        <v>#N/A</v>
      </c>
    </row>
    <row r="39" spans="10:22" x14ac:dyDescent="0.4">
      <c r="J39" t="s" vm="7">
        <v>8</v>
      </c>
      <c r="K39" vm="703">
        <v>1.4</v>
      </c>
      <c r="L39" vm="704">
        <v>-0.2</v>
      </c>
      <c r="N39" t="s" vm="7">
        <v>8</v>
      </c>
      <c r="O39" vm="703">
        <v>1.4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702">
        <v>-0.2</v>
      </c>
      <c r="V39" t="e">
        <v>#N/A</v>
      </c>
    </row>
    <row r="40" spans="10:22" x14ac:dyDescent="0.4">
      <c r="J40" t="s" vm="3">
        <v>7</v>
      </c>
      <c r="K40" vm="700">
        <v>3.8</v>
      </c>
      <c r="L40" vm="701">
        <v>-0.3</v>
      </c>
      <c r="N40" t="s" vm="3">
        <v>7</v>
      </c>
      <c r="O40" vm="700">
        <v>3.8</v>
      </c>
      <c r="P40" t="e">
        <v>#N/A</v>
      </c>
      <c r="Q40" t="e">
        <v>#N/A</v>
      </c>
      <c r="R40" t="e">
        <v>#N/A</v>
      </c>
      <c r="S40" t="e">
        <v>#N/A</v>
      </c>
      <c r="T40" vm="699">
        <v>-0.3</v>
      </c>
      <c r="U40" t="e">
        <v>#N/A</v>
      </c>
      <c r="V40" t="e">
        <v>#N/A</v>
      </c>
    </row>
    <row r="43" spans="10:22" x14ac:dyDescent="0.4">
      <c r="J43" t="s">
        <v>6</v>
      </c>
      <c r="K43" s="1">
        <v>0.5</v>
      </c>
      <c r="L43" s="1">
        <v>-1.5</v>
      </c>
    </row>
    <row r="44" spans="10:22" x14ac:dyDescent="0.4">
      <c r="J44" t="s">
        <v>5</v>
      </c>
      <c r="K44" s="1">
        <v>6.2</v>
      </c>
      <c r="L44" s="1">
        <v>0.4</v>
      </c>
    </row>
    <row r="45" spans="10:22" x14ac:dyDescent="0.4">
      <c r="J45" t="s">
        <v>4</v>
      </c>
      <c r="K45" s="1">
        <v>1.9666666666666666</v>
      </c>
      <c r="L45" s="2">
        <v>-0.19259259259259257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0.5</v>
      </c>
      <c r="L48">
        <v>-0.19259259259259257</v>
      </c>
    </row>
    <row r="49" spans="10:12" x14ac:dyDescent="0.4">
      <c r="K49" s="1">
        <v>6.2</v>
      </c>
      <c r="L49" s="2">
        <v>-0.19259259259259257</v>
      </c>
    </row>
    <row r="51" spans="10:12" x14ac:dyDescent="0.4">
      <c r="J51" t="s">
        <v>0</v>
      </c>
      <c r="K51" s="2">
        <v>1.9666666666666666</v>
      </c>
      <c r="L51" s="1">
        <v>-1.5</v>
      </c>
    </row>
    <row r="52" spans="10:12" x14ac:dyDescent="0.4">
      <c r="K52" s="2">
        <v>1.9666666666666666</v>
      </c>
      <c r="L52" s="1">
        <v>0.4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 moveWithCells="1" sizeWithCells="1">
                  <from>
                    <xdr:col>16</xdr:col>
                    <xdr:colOff>457200</xdr:colOff>
                    <xdr:row>43</xdr:row>
                    <xdr:rowOff>141514</xdr:rowOff>
                  </from>
                  <to>
                    <xdr:col>20</xdr:col>
                    <xdr:colOff>163286</xdr:colOff>
                    <xdr:row>50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83DF1-71E9-4ECD-A555-AB7124E477D4}">
  <sheetPr codeName="Sheet12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860">
        <f>K6</f>
        <v>2023</v>
      </c>
      <c r="C5" s="34"/>
      <c r="D5" s="34"/>
      <c r="E5" s="34"/>
      <c r="F5" s="34"/>
      <c r="G5" s="35"/>
      <c r="J5" t="s">
        <v>49</v>
      </c>
      <c r="K5" t="s" vm="861">
        <v>74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86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73</v>
      </c>
    </row>
    <row r="10" spans="2:22" ht="16.75" thickTop="1" thickBot="1" x14ac:dyDescent="0.45">
      <c r="B10" s="14" t="s">
        <v>97</v>
      </c>
      <c r="C10" s="15" t="s">
        <v>14</v>
      </c>
      <c r="D10" s="16" t="s">
        <v>20</v>
      </c>
      <c r="E10" s="17" t="s">
        <v>101</v>
      </c>
      <c r="F10" s="16"/>
      <c r="G10" s="18"/>
    </row>
    <row r="11" spans="2:22" ht="16.3" thickBot="1" x14ac:dyDescent="0.45">
      <c r="B11" s="19" t="s">
        <v>98</v>
      </c>
      <c r="C11" s="20" t="s">
        <v>21</v>
      </c>
      <c r="D11" s="21"/>
      <c r="E11" s="21"/>
      <c r="F11" s="22"/>
      <c r="G11" s="23"/>
    </row>
    <row r="12" spans="2:22" ht="16.3" thickBot="1" x14ac:dyDescent="0.45">
      <c r="B12" s="19" t="s">
        <v>94</v>
      </c>
      <c r="C12" s="20"/>
      <c r="D12" s="24" t="s">
        <v>15</v>
      </c>
      <c r="E12" s="24" t="s">
        <v>102</v>
      </c>
      <c r="F12" s="24" t="s">
        <v>103</v>
      </c>
      <c r="G12" s="25" t="s">
        <v>104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105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106</v>
      </c>
      <c r="D14" s="31"/>
      <c r="E14" s="31" t="s">
        <v>18</v>
      </c>
      <c r="F14" s="31" t="s">
        <v>33</v>
      </c>
      <c r="G14" s="32"/>
      <c r="J14" t="s" vm="107">
        <v>33</v>
      </c>
      <c r="K14" vm="858">
        <v>98.48</v>
      </c>
      <c r="L14" vm="859">
        <v>-1.2E-2</v>
      </c>
      <c r="N14" t="s" vm="107">
        <v>33</v>
      </c>
      <c r="O14" vm="858">
        <v>98.48</v>
      </c>
      <c r="P14" t="e">
        <v>#N/A</v>
      </c>
      <c r="Q14" t="e">
        <v>#N/A</v>
      </c>
      <c r="R14" t="e">
        <v>#N/A</v>
      </c>
      <c r="S14" t="e">
        <v>#N/A</v>
      </c>
      <c r="T14" vm="857">
        <v>-1.2E-2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855">
        <v>106.11</v>
      </c>
      <c r="L15" vm="856">
        <v>1.4999999999999999E-2</v>
      </c>
      <c r="N15" t="s" vm="103">
        <v>32</v>
      </c>
      <c r="O15" vm="855">
        <v>106.11</v>
      </c>
      <c r="P15" t="e">
        <v>#N/A</v>
      </c>
      <c r="Q15" t="e">
        <v>#N/A</v>
      </c>
      <c r="R15" t="e">
        <v>#N/A</v>
      </c>
      <c r="S15" vm="854">
        <v>1.4999999999999999E-2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t="e">
        <v>#N/A</v>
      </c>
      <c r="L16" t="e">
        <v>#N/A</v>
      </c>
      <c r="N16" t="s" vm="99">
        <v>31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852">
        <v>114.61</v>
      </c>
      <c r="L17" vm="853">
        <v>-4.0000000000000001E-3</v>
      </c>
      <c r="N17" t="s" vm="95">
        <v>30</v>
      </c>
      <c r="O17" vm="852">
        <v>114.61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851">
        <v>-4.0000000000000001E-3</v>
      </c>
      <c r="V17" t="e">
        <v>#N/A</v>
      </c>
    </row>
    <row r="18" spans="10:22" x14ac:dyDescent="0.4">
      <c r="J18" t="s" vm="91">
        <v>29</v>
      </c>
      <c r="K18" vm="849">
        <v>121.58</v>
      </c>
      <c r="L18" vm="850">
        <v>-1.7999999999999999E-2</v>
      </c>
      <c r="N18" t="s" vm="91">
        <v>29</v>
      </c>
      <c r="O18" vm="849">
        <v>121.58</v>
      </c>
      <c r="P18" t="e">
        <v>#N/A</v>
      </c>
      <c r="Q18" t="e">
        <v>#N/A</v>
      </c>
      <c r="R18" t="e">
        <v>#N/A</v>
      </c>
      <c r="S18" vm="848">
        <v>-1.7999999999999999E-2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846">
        <v>112.88</v>
      </c>
      <c r="L19" vm="847">
        <v>-4.0000000000000001E-3</v>
      </c>
      <c r="N19" t="s" vm="87">
        <v>28</v>
      </c>
      <c r="O19" vm="846">
        <v>112.88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845">
        <v>-4.0000000000000001E-3</v>
      </c>
      <c r="V19" t="e">
        <v>#N/A</v>
      </c>
    </row>
    <row r="20" spans="10:22" x14ac:dyDescent="0.4">
      <c r="J20" t="s" vm="83">
        <v>27</v>
      </c>
      <c r="K20" vm="843">
        <v>122.57</v>
      </c>
      <c r="L20" vm="844">
        <v>1.4999999999999999E-2</v>
      </c>
      <c r="N20" t="s" vm="83">
        <v>27</v>
      </c>
      <c r="O20" vm="843">
        <v>122.57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vm="842">
        <v>1.4999999999999999E-2</v>
      </c>
      <c r="V20" t="e">
        <v>#N/A</v>
      </c>
    </row>
    <row r="21" spans="10:22" x14ac:dyDescent="0.4">
      <c r="J21" t="s" vm="79">
        <v>26</v>
      </c>
      <c r="K21" vm="840">
        <v>125.96</v>
      </c>
      <c r="L21" vm="841">
        <v>-3.5000000000000003E-2</v>
      </c>
      <c r="N21" t="s" vm="79">
        <v>26</v>
      </c>
      <c r="O21" vm="840">
        <v>125.96</v>
      </c>
      <c r="P21" t="e">
        <v>#N/A</v>
      </c>
      <c r="Q21" t="e">
        <v>#N/A</v>
      </c>
      <c r="R21" t="e">
        <v>#N/A</v>
      </c>
      <c r="S21" vm="839">
        <v>-3.5000000000000003E-2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837">
        <v>81.59</v>
      </c>
      <c r="L22" vm="838">
        <v>3.5999999999999997E-2</v>
      </c>
      <c r="N22" t="s" vm="75">
        <v>25</v>
      </c>
      <c r="O22" vm="837">
        <v>81.59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vm="836">
        <v>3.5999999999999997E-2</v>
      </c>
    </row>
    <row r="23" spans="10:22" x14ac:dyDescent="0.4">
      <c r="J23" t="s" vm="71">
        <v>24</v>
      </c>
      <c r="K23" vm="834">
        <v>101.09</v>
      </c>
      <c r="L23" vm="835">
        <v>3.6999999999999998E-2</v>
      </c>
      <c r="N23" t="s" vm="71">
        <v>24</v>
      </c>
      <c r="O23" vm="834">
        <v>101.09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vm="833">
        <v>3.6999999999999998E-2</v>
      </c>
    </row>
    <row r="24" spans="10:22" x14ac:dyDescent="0.4">
      <c r="J24" t="s" vm="67">
        <v>23</v>
      </c>
      <c r="K24" vm="831">
        <v>107.88</v>
      </c>
      <c r="L24" vm="832">
        <v>2E-3</v>
      </c>
      <c r="N24" t="s" vm="67">
        <v>23</v>
      </c>
      <c r="O24" vm="831">
        <v>107.88</v>
      </c>
      <c r="P24" t="e">
        <v>#N/A</v>
      </c>
      <c r="Q24" t="e">
        <v>#N/A</v>
      </c>
      <c r="R24" t="e">
        <v>#N/A</v>
      </c>
      <c r="S24" vm="830">
        <v>2E-3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828">
        <v>110.71</v>
      </c>
      <c r="L25" vm="829">
        <v>5.0000000000000001E-3</v>
      </c>
      <c r="N25" t="s" vm="63">
        <v>22</v>
      </c>
      <c r="O25" vm="828">
        <v>110.71</v>
      </c>
      <c r="P25" t="e">
        <v>#N/A</v>
      </c>
      <c r="Q25" t="e">
        <v>#N/A</v>
      </c>
      <c r="R25" t="e">
        <v>#N/A</v>
      </c>
      <c r="S25" vm="827">
        <v>5.0000000000000001E-3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825">
        <v>130.62</v>
      </c>
      <c r="L26" vm="826">
        <v>4.5999999999999999E-2</v>
      </c>
      <c r="N26" t="s" vm="59">
        <v>21</v>
      </c>
      <c r="O26" vm="825">
        <v>130.62</v>
      </c>
      <c r="P26" t="e">
        <v>#N/A</v>
      </c>
      <c r="Q26" t="e">
        <v>#N/A</v>
      </c>
      <c r="R26" vm="824">
        <v>4.5999999999999999E-2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822">
        <v>154.58000000000001</v>
      </c>
      <c r="L27" vm="823">
        <v>2.1999999999999999E-2</v>
      </c>
      <c r="N27" t="s" vm="55">
        <v>20</v>
      </c>
      <c r="O27" vm="822">
        <v>154.58000000000001</v>
      </c>
      <c r="P27" t="e">
        <v>#N/A</v>
      </c>
      <c r="Q27" vm="821">
        <v>2.1999999999999999E-2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819">
        <v>111.81</v>
      </c>
      <c r="L28" vm="820">
        <v>4.0000000000000001E-3</v>
      </c>
      <c r="N28" t="s" vm="51">
        <v>19</v>
      </c>
      <c r="O28" vm="819">
        <v>111.81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818">
        <v>4.0000000000000001E-3</v>
      </c>
      <c r="V28" t="e">
        <v>#N/A</v>
      </c>
    </row>
    <row r="29" spans="10:22" x14ac:dyDescent="0.4">
      <c r="J29" t="s" vm="47">
        <v>18</v>
      </c>
      <c r="K29" vm="816">
        <v>94.01</v>
      </c>
      <c r="L29" vm="817">
        <v>-1E-3</v>
      </c>
      <c r="N29" t="s" vm="47">
        <v>18</v>
      </c>
      <c r="O29" vm="816">
        <v>94.01</v>
      </c>
      <c r="P29" t="e">
        <v>#N/A</v>
      </c>
      <c r="Q29" t="e">
        <v>#N/A</v>
      </c>
      <c r="R29" t="e">
        <v>#N/A</v>
      </c>
      <c r="S29" t="e">
        <v>#N/A</v>
      </c>
      <c r="T29" vm="815">
        <v>-1E-3</v>
      </c>
      <c r="U29" t="e">
        <v>#N/A</v>
      </c>
      <c r="V29" t="e">
        <v>#N/A</v>
      </c>
    </row>
    <row r="30" spans="10:22" x14ac:dyDescent="0.4">
      <c r="J30" t="s" vm="43">
        <v>17</v>
      </c>
      <c r="K30" vm="813">
        <v>140.62</v>
      </c>
      <c r="L30" vm="814">
        <v>7.0000000000000001E-3</v>
      </c>
      <c r="N30" t="s" vm="43">
        <v>17</v>
      </c>
      <c r="O30" vm="813">
        <v>140.62</v>
      </c>
      <c r="P30" t="e">
        <v>#N/A</v>
      </c>
      <c r="Q30" vm="812">
        <v>7.0000000000000001E-3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810">
        <v>113.32</v>
      </c>
      <c r="L31" vm="811">
        <v>1.9E-2</v>
      </c>
      <c r="N31" t="s" vm="39">
        <v>16</v>
      </c>
      <c r="O31" vm="810">
        <v>113.32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vm="809">
        <v>1.9E-2</v>
      </c>
      <c r="V31" t="e">
        <v>#N/A</v>
      </c>
    </row>
    <row r="32" spans="10:22" x14ac:dyDescent="0.4">
      <c r="J32" t="s" vm="35">
        <v>15</v>
      </c>
      <c r="K32" vm="807">
        <v>126.08</v>
      </c>
      <c r="L32" vm="808">
        <v>2.5000000000000001E-2</v>
      </c>
      <c r="N32" t="s" vm="35">
        <v>15</v>
      </c>
      <c r="O32" vm="807">
        <v>126.08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806">
        <v>2.5000000000000001E-2</v>
      </c>
      <c r="V32" t="e">
        <v>#N/A</v>
      </c>
    </row>
    <row r="33" spans="10:22" x14ac:dyDescent="0.4">
      <c r="J33" t="s" vm="31">
        <v>14</v>
      </c>
      <c r="K33" vm="804">
        <v>152.78</v>
      </c>
      <c r="L33" vm="805">
        <v>5.7000000000000002E-2</v>
      </c>
      <c r="N33" t="s" vm="31">
        <v>14</v>
      </c>
      <c r="O33" vm="804">
        <v>152.78</v>
      </c>
      <c r="P33" t="e">
        <v>#N/A</v>
      </c>
      <c r="Q33" vm="803">
        <v>5.7000000000000002E-2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801">
        <v>109.36</v>
      </c>
      <c r="L34" vm="802">
        <v>2E-3</v>
      </c>
      <c r="N34" t="s" vm="27">
        <v>13</v>
      </c>
      <c r="O34" vm="801">
        <v>109.36</v>
      </c>
      <c r="P34" t="e">
        <v>#N/A</v>
      </c>
      <c r="Q34" t="e">
        <v>#N/A</v>
      </c>
      <c r="R34" t="e">
        <v>#N/A</v>
      </c>
      <c r="S34" vm="800">
        <v>2E-3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798">
        <v>152.02000000000001</v>
      </c>
      <c r="L35" vm="799">
        <v>1.2999999999999999E-2</v>
      </c>
      <c r="N35" t="s" vm="23">
        <v>12</v>
      </c>
      <c r="O35" vm="798">
        <v>152.02000000000001</v>
      </c>
      <c r="P35" t="e">
        <v>#N/A</v>
      </c>
      <c r="Q35" vm="797">
        <v>1.2999999999999999E-2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795">
        <v>112.75</v>
      </c>
      <c r="L36" vm="796">
        <v>1.9E-2</v>
      </c>
      <c r="N36" t="s" vm="19">
        <v>11</v>
      </c>
      <c r="O36" vm="795">
        <v>112.75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794">
        <v>1.9E-2</v>
      </c>
      <c r="V36" t="e">
        <v>#N/A</v>
      </c>
    </row>
    <row r="37" spans="10:22" x14ac:dyDescent="0.4">
      <c r="J37" t="s" vm="15">
        <v>10</v>
      </c>
      <c r="K37" vm="792">
        <v>160.96</v>
      </c>
      <c r="L37" vm="793">
        <v>7.0000000000000001E-3</v>
      </c>
      <c r="N37" t="s" vm="15">
        <v>10</v>
      </c>
      <c r="O37" vm="792">
        <v>160.96</v>
      </c>
      <c r="P37" t="e">
        <v>#N/A</v>
      </c>
      <c r="Q37" vm="791">
        <v>7.0000000000000001E-3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789">
        <v>119.54</v>
      </c>
      <c r="L38" vm="790">
        <v>-1.4E-2</v>
      </c>
      <c r="N38" t="s" vm="11">
        <v>9</v>
      </c>
      <c r="O38" vm="789">
        <v>119.54</v>
      </c>
      <c r="P38" t="e">
        <v>#N/A</v>
      </c>
      <c r="Q38" t="e">
        <v>#N/A</v>
      </c>
      <c r="R38" t="e">
        <v>#N/A</v>
      </c>
      <c r="S38" vm="788">
        <v>-1.4E-2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786">
        <v>120.65</v>
      </c>
      <c r="L39" vm="787">
        <v>4.0000000000000001E-3</v>
      </c>
      <c r="N39" t="s" vm="7">
        <v>8</v>
      </c>
      <c r="O39" vm="786">
        <v>120.65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785">
        <v>4.0000000000000001E-3</v>
      </c>
      <c r="V39" t="e">
        <v>#N/A</v>
      </c>
    </row>
    <row r="40" spans="10:22" x14ac:dyDescent="0.4">
      <c r="J40" t="s" vm="3">
        <v>7</v>
      </c>
      <c r="K40" vm="783">
        <v>123.22</v>
      </c>
      <c r="L40" vm="784">
        <v>-2.5000000000000001E-2</v>
      </c>
      <c r="N40" t="s" vm="3">
        <v>7</v>
      </c>
      <c r="O40" vm="783">
        <v>123.22</v>
      </c>
      <c r="P40" t="e">
        <v>#N/A</v>
      </c>
      <c r="Q40" t="e">
        <v>#N/A</v>
      </c>
      <c r="R40" t="e">
        <v>#N/A</v>
      </c>
      <c r="S40" vm="782">
        <v>-2.5000000000000001E-2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81.59</v>
      </c>
      <c r="L43" s="1">
        <v>-3.5000000000000003E-2</v>
      </c>
    </row>
    <row r="44" spans="10:22" x14ac:dyDescent="0.4">
      <c r="J44" t="s">
        <v>5</v>
      </c>
      <c r="K44" s="1">
        <v>160.96</v>
      </c>
      <c r="L44" s="1">
        <v>5.7000000000000002E-2</v>
      </c>
    </row>
    <row r="45" spans="10:22" x14ac:dyDescent="0.4">
      <c r="J45" t="s">
        <v>4</v>
      </c>
      <c r="K45" s="1">
        <v>120.22230769230769</v>
      </c>
      <c r="L45" s="2">
        <v>8.5384615384615364E-3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81.59</v>
      </c>
      <c r="L48">
        <v>8.5384615384615364E-3</v>
      </c>
    </row>
    <row r="49" spans="10:12" x14ac:dyDescent="0.4">
      <c r="K49" s="1">
        <v>160.96</v>
      </c>
      <c r="L49" s="2">
        <v>8.5384615384615364E-3</v>
      </c>
    </row>
    <row r="51" spans="10:12" x14ac:dyDescent="0.4">
      <c r="J51" t="s">
        <v>0</v>
      </c>
      <c r="K51" s="2">
        <v>120.22230769230769</v>
      </c>
      <c r="L51" s="1">
        <v>-3.5000000000000003E-2</v>
      </c>
    </row>
    <row r="52" spans="10:12" x14ac:dyDescent="0.4">
      <c r="K52" s="2">
        <v>120.22230769230769</v>
      </c>
      <c r="L52" s="1">
        <v>5.7000000000000002E-2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 moveWithCells="1" sizeWithCells="1">
                  <from>
                    <xdr:col>16</xdr:col>
                    <xdr:colOff>500743</xdr:colOff>
                    <xdr:row>43</xdr:row>
                    <xdr:rowOff>108857</xdr:rowOff>
                  </from>
                  <to>
                    <xdr:col>20</xdr:col>
                    <xdr:colOff>212271</xdr:colOff>
                    <xdr:row>50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4D465-E743-4063-9E98-BE28B023227A}">
  <sheetPr codeName="Sheet13"/>
  <dimension ref="B4:V52"/>
  <sheetViews>
    <sheetView zoomScale="70" zoomScaleNormal="70" workbookViewId="0">
      <selection activeCell="D3" sqref="D3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943">
        <f>K6</f>
        <v>2023</v>
      </c>
      <c r="C5" s="34"/>
      <c r="D5" s="34"/>
      <c r="E5" s="34"/>
      <c r="F5" s="34"/>
      <c r="G5" s="35"/>
      <c r="J5" t="s">
        <v>49</v>
      </c>
      <c r="K5" t="s" vm="944">
        <v>76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943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75</v>
      </c>
    </row>
    <row r="10" spans="2:22" ht="16.75" thickTop="1" thickBot="1" x14ac:dyDescent="0.45">
      <c r="B10" s="14" t="s">
        <v>97</v>
      </c>
      <c r="C10" s="15"/>
      <c r="D10" s="16" t="s">
        <v>13</v>
      </c>
      <c r="E10" s="17" t="s">
        <v>187</v>
      </c>
      <c r="F10" s="16" t="s">
        <v>8</v>
      </c>
      <c r="G10" s="18"/>
    </row>
    <row r="11" spans="2:22" ht="16.3" thickBot="1" x14ac:dyDescent="0.45">
      <c r="B11" s="19" t="s">
        <v>98</v>
      </c>
      <c r="C11" s="20"/>
      <c r="D11" s="21"/>
      <c r="E11" s="21" t="s">
        <v>188</v>
      </c>
      <c r="F11" s="22" t="s">
        <v>189</v>
      </c>
      <c r="G11" s="23" t="s">
        <v>7</v>
      </c>
    </row>
    <row r="12" spans="2:22" ht="16.3" thickBot="1" x14ac:dyDescent="0.45">
      <c r="B12" s="19" t="s">
        <v>94</v>
      </c>
      <c r="C12" s="20" t="s">
        <v>18</v>
      </c>
      <c r="D12" s="24"/>
      <c r="E12" s="24" t="s">
        <v>190</v>
      </c>
      <c r="F12" s="24" t="s">
        <v>21</v>
      </c>
      <c r="G12" s="25" t="s">
        <v>172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26</v>
      </c>
      <c r="E13" s="28" t="s">
        <v>17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191</v>
      </c>
      <c r="D14" s="31"/>
      <c r="E14" s="31" t="s">
        <v>192</v>
      </c>
      <c r="F14" s="31" t="s">
        <v>24</v>
      </c>
      <c r="G14" s="32"/>
      <c r="J14" t="s" vm="107">
        <v>33</v>
      </c>
      <c r="K14" vm="941">
        <v>17.7</v>
      </c>
      <c r="L14" vm="942">
        <v>0.2</v>
      </c>
      <c r="N14" t="s" vm="107">
        <v>33</v>
      </c>
      <c r="O14" vm="941">
        <v>17.7</v>
      </c>
      <c r="P14" t="e">
        <v>#N/A</v>
      </c>
      <c r="Q14" t="e">
        <v>#N/A</v>
      </c>
      <c r="R14" vm="940">
        <v>0.2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938">
        <v>18.600000000000001</v>
      </c>
      <c r="L15" vm="939">
        <v>-0.1</v>
      </c>
      <c r="N15" t="s" vm="103">
        <v>32</v>
      </c>
      <c r="O15" vm="938">
        <v>18.600000000000001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937">
        <v>-0.1</v>
      </c>
      <c r="V15" t="e">
        <v>#N/A</v>
      </c>
    </row>
    <row r="16" spans="2:22" x14ac:dyDescent="0.4">
      <c r="J16" t="s" vm="99">
        <v>31</v>
      </c>
      <c r="K16" vm="935">
        <v>30</v>
      </c>
      <c r="L16" vm="936">
        <v>-2.2000000000000002</v>
      </c>
      <c r="N16" t="s" vm="99">
        <v>31</v>
      </c>
      <c r="O16" vm="935">
        <v>30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934">
        <v>-2.2000000000000002</v>
      </c>
    </row>
    <row r="17" spans="10:22" x14ac:dyDescent="0.4">
      <c r="J17" t="s" vm="95">
        <v>30</v>
      </c>
      <c r="K17" vm="932">
        <v>16.7</v>
      </c>
      <c r="L17" vm="933">
        <v>0</v>
      </c>
      <c r="N17" t="s" vm="95">
        <v>30</v>
      </c>
      <c r="O17" vm="932">
        <v>16.7</v>
      </c>
      <c r="P17" t="e">
        <v>#N/A</v>
      </c>
      <c r="Q17" t="e">
        <v>#N/A</v>
      </c>
      <c r="R17" vm="931">
        <v>0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929">
        <v>12</v>
      </c>
      <c r="L18" vm="930">
        <v>0.2</v>
      </c>
      <c r="N18" t="s" vm="91">
        <v>29</v>
      </c>
      <c r="O18" vm="929">
        <v>12</v>
      </c>
      <c r="P18" t="e">
        <v>#N/A</v>
      </c>
      <c r="Q18" vm="928">
        <v>0.2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926">
        <v>21.3</v>
      </c>
      <c r="L19" vm="927">
        <v>0.2</v>
      </c>
      <c r="N19" t="s" vm="87">
        <v>28</v>
      </c>
      <c r="O19" vm="926">
        <v>21.3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925">
        <v>0.2</v>
      </c>
      <c r="V19" t="e">
        <v>#N/A</v>
      </c>
    </row>
    <row r="20" spans="10:22" x14ac:dyDescent="0.4">
      <c r="J20" t="s" vm="83">
        <v>27</v>
      </c>
      <c r="K20" vm="923">
        <v>17.899999999999999</v>
      </c>
      <c r="L20" vm="924">
        <v>0.8</v>
      </c>
      <c r="N20" t="s" vm="83">
        <v>27</v>
      </c>
      <c r="O20" vm="923">
        <v>17.899999999999999</v>
      </c>
      <c r="P20" t="e">
        <v>#N/A</v>
      </c>
      <c r="Q20" t="e">
        <v>#N/A</v>
      </c>
      <c r="R20" vm="922">
        <v>0.8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920">
        <v>24.2</v>
      </c>
      <c r="L21" vm="921">
        <v>-1</v>
      </c>
      <c r="N21" t="s" vm="79">
        <v>26</v>
      </c>
      <c r="O21" vm="920">
        <v>24.2</v>
      </c>
      <c r="P21" t="e">
        <v>#N/A</v>
      </c>
      <c r="Q21" t="e">
        <v>#N/A</v>
      </c>
      <c r="R21" t="e">
        <v>#N/A</v>
      </c>
      <c r="S21" vm="919">
        <v>-1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917">
        <v>26.1</v>
      </c>
      <c r="L22" vm="918">
        <v>-0.2</v>
      </c>
      <c r="N22" t="s" vm="75">
        <v>25</v>
      </c>
      <c r="O22" vm="917">
        <v>26.1</v>
      </c>
      <c r="P22" t="e">
        <v>#N/A</v>
      </c>
      <c r="Q22" t="e">
        <v>#N/A</v>
      </c>
      <c r="R22" t="e">
        <v>#N/A</v>
      </c>
      <c r="S22" t="e">
        <v>#N/A</v>
      </c>
      <c r="T22" vm="916">
        <v>-0.2</v>
      </c>
      <c r="U22" t="e">
        <v>#N/A</v>
      </c>
      <c r="V22" t="e">
        <v>#N/A</v>
      </c>
    </row>
    <row r="23" spans="10:22" x14ac:dyDescent="0.4">
      <c r="J23" t="s" vm="71">
        <v>24</v>
      </c>
      <c r="K23" vm="914">
        <v>26.5</v>
      </c>
      <c r="L23" vm="915">
        <v>0.5</v>
      </c>
      <c r="N23" t="s" vm="71">
        <v>24</v>
      </c>
      <c r="O23" vm="914">
        <v>26.5</v>
      </c>
      <c r="P23" t="e">
        <v>#N/A</v>
      </c>
      <c r="Q23" t="e">
        <v>#N/A</v>
      </c>
      <c r="R23" t="e">
        <v>#N/A</v>
      </c>
      <c r="S23" t="e">
        <v>#N/A</v>
      </c>
      <c r="T23" vm="913">
        <v>0.5</v>
      </c>
      <c r="U23" t="e">
        <v>#N/A</v>
      </c>
      <c r="V23" t="e">
        <v>#N/A</v>
      </c>
    </row>
    <row r="24" spans="10:22" x14ac:dyDescent="0.4">
      <c r="J24" t="s" vm="67">
        <v>23</v>
      </c>
      <c r="K24" vm="911">
        <v>15.8</v>
      </c>
      <c r="L24" vm="912">
        <v>-0.5</v>
      </c>
      <c r="N24" t="s" vm="67">
        <v>23</v>
      </c>
      <c r="O24" vm="911">
        <v>15.8</v>
      </c>
      <c r="P24" t="e">
        <v>#N/A</v>
      </c>
      <c r="Q24" vm="910">
        <v>-0.5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908">
        <v>20.399999999999999</v>
      </c>
      <c r="L25" vm="909">
        <v>-0.3</v>
      </c>
      <c r="N25" t="s" vm="63">
        <v>22</v>
      </c>
      <c r="O25" vm="908">
        <v>20.399999999999999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907">
        <v>-0.3</v>
      </c>
      <c r="V25" t="e">
        <v>#N/A</v>
      </c>
    </row>
    <row r="26" spans="10:22" x14ac:dyDescent="0.4">
      <c r="J26" t="s" vm="59">
        <v>21</v>
      </c>
      <c r="K26" vm="905">
        <v>20.7</v>
      </c>
      <c r="L26" vm="906">
        <v>0.8</v>
      </c>
      <c r="N26" t="s" vm="59">
        <v>21</v>
      </c>
      <c r="O26" vm="905">
        <v>20.7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904">
        <v>0.8</v>
      </c>
      <c r="V26" t="e">
        <v>#N/A</v>
      </c>
    </row>
    <row r="27" spans="10:22" x14ac:dyDescent="0.4">
      <c r="J27" t="s" vm="55">
        <v>20</v>
      </c>
      <c r="K27" vm="902">
        <v>19.7</v>
      </c>
      <c r="L27" vm="903">
        <v>1.3</v>
      </c>
      <c r="N27" t="s" vm="55">
        <v>20</v>
      </c>
      <c r="O27" vm="902">
        <v>19.7</v>
      </c>
      <c r="P27" t="e">
        <v>#N/A</v>
      </c>
      <c r="Q27" t="e">
        <v>#N/A</v>
      </c>
      <c r="R27" t="e">
        <v>#N/A</v>
      </c>
      <c r="S27" vm="901">
        <v>1.3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899">
        <v>19.2</v>
      </c>
      <c r="L28" vm="900">
        <v>-0.4</v>
      </c>
      <c r="N28" t="s" vm="51">
        <v>19</v>
      </c>
      <c r="O28" vm="899">
        <v>19.2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898">
        <v>-0.4</v>
      </c>
      <c r="V28" t="e">
        <v>#N/A</v>
      </c>
    </row>
    <row r="29" spans="10:22" x14ac:dyDescent="0.4">
      <c r="J29" t="s" vm="47">
        <v>18</v>
      </c>
      <c r="K29" vm="896">
        <v>22.8</v>
      </c>
      <c r="L29" vm="897">
        <v>-1.6</v>
      </c>
      <c r="N29" t="s" vm="47">
        <v>18</v>
      </c>
      <c r="O29" vm="896">
        <v>22.8</v>
      </c>
      <c r="P29" t="e">
        <v>#N/A</v>
      </c>
      <c r="Q29" t="e">
        <v>#N/A</v>
      </c>
      <c r="R29" vm="895">
        <v>-1.6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893">
        <v>24.3</v>
      </c>
      <c r="L30" vm="894">
        <v>-0.3</v>
      </c>
      <c r="N30" t="s" vm="43">
        <v>17</v>
      </c>
      <c r="O30" vm="893">
        <v>24.3</v>
      </c>
      <c r="P30" t="e">
        <v>#N/A</v>
      </c>
      <c r="Q30" t="e">
        <v>#N/A</v>
      </c>
      <c r="R30" t="e">
        <v>#N/A</v>
      </c>
      <c r="S30" vm="892">
        <v>-0.3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890">
        <v>21.4</v>
      </c>
      <c r="L31" vm="891">
        <v>2</v>
      </c>
      <c r="N31" t="s" vm="39">
        <v>16</v>
      </c>
      <c r="O31" vm="890">
        <v>21.4</v>
      </c>
      <c r="P31" t="e">
        <v>#N/A</v>
      </c>
      <c r="Q31" t="e">
        <v>#N/A</v>
      </c>
      <c r="R31" t="e">
        <v>#N/A</v>
      </c>
      <c r="S31" vm="889">
        <v>2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887">
        <v>25.6</v>
      </c>
      <c r="L32" vm="888">
        <v>-0.4</v>
      </c>
      <c r="N32" t="s" vm="35">
        <v>15</v>
      </c>
      <c r="O32" vm="887">
        <v>25.6</v>
      </c>
      <c r="P32" t="e">
        <v>#N/A</v>
      </c>
      <c r="Q32" t="e">
        <v>#N/A</v>
      </c>
      <c r="R32" t="e">
        <v>#N/A</v>
      </c>
      <c r="S32" t="e">
        <v>#N/A</v>
      </c>
      <c r="T32" vm="886">
        <v>-0.4</v>
      </c>
      <c r="U32" t="e">
        <v>#N/A</v>
      </c>
      <c r="V32" t="e">
        <v>#N/A</v>
      </c>
    </row>
    <row r="33" spans="10:22" x14ac:dyDescent="0.4">
      <c r="J33" t="s" vm="31">
        <v>14</v>
      </c>
      <c r="K33" vm="884">
        <v>19.8</v>
      </c>
      <c r="L33" vm="885">
        <v>-0.3</v>
      </c>
      <c r="N33" t="s" vm="31">
        <v>14</v>
      </c>
      <c r="O33" vm="884">
        <v>19.8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883">
        <v>-0.3</v>
      </c>
      <c r="V33" t="e">
        <v>#N/A</v>
      </c>
    </row>
    <row r="34" spans="10:22" x14ac:dyDescent="0.4">
      <c r="J34" t="s" vm="27">
        <v>13</v>
      </c>
      <c r="K34" vm="881">
        <v>15.8</v>
      </c>
      <c r="L34" vm="882">
        <v>-0.7</v>
      </c>
      <c r="N34" t="s" vm="27">
        <v>13</v>
      </c>
      <c r="O34" vm="881">
        <v>15.8</v>
      </c>
      <c r="P34" t="e">
        <v>#N/A</v>
      </c>
      <c r="Q34" vm="880">
        <v>-0.7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878">
        <v>16.3</v>
      </c>
      <c r="L35" vm="879">
        <v>0.4</v>
      </c>
      <c r="N35" t="s" vm="23">
        <v>12</v>
      </c>
      <c r="O35" vm="878">
        <v>16.3</v>
      </c>
      <c r="P35" t="e">
        <v>#N/A</v>
      </c>
      <c r="Q35" t="e">
        <v>#N/A</v>
      </c>
      <c r="R35" vm="877">
        <v>0.4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875">
        <v>20.100000000000001</v>
      </c>
      <c r="L36" vm="876">
        <v>0</v>
      </c>
      <c r="N36" t="s" vm="19">
        <v>11</v>
      </c>
      <c r="O36" vm="875">
        <v>20.100000000000001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874">
        <v>0</v>
      </c>
      <c r="V36" t="e">
        <v>#N/A</v>
      </c>
    </row>
    <row r="37" spans="10:22" x14ac:dyDescent="0.4">
      <c r="J37" t="s" vm="15">
        <v>10</v>
      </c>
      <c r="K37" vm="872">
        <v>32</v>
      </c>
      <c r="L37" vm="873">
        <v>-2.4</v>
      </c>
      <c r="N37" t="s" vm="15">
        <v>10</v>
      </c>
      <c r="O37" vm="872">
        <v>32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871">
        <v>-2.4</v>
      </c>
    </row>
    <row r="38" spans="10:22" x14ac:dyDescent="0.4">
      <c r="J38" t="s" vm="11">
        <v>9</v>
      </c>
      <c r="K38" vm="869">
        <v>18.399999999999999</v>
      </c>
      <c r="L38" vm="870">
        <v>-0.2</v>
      </c>
      <c r="N38" t="s" vm="11">
        <v>9</v>
      </c>
      <c r="O38" vm="869">
        <v>18.399999999999999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868">
        <v>-0.2</v>
      </c>
      <c r="V38" t="e">
        <v>#N/A</v>
      </c>
    </row>
    <row r="39" spans="10:22" x14ac:dyDescent="0.4">
      <c r="J39" t="s" vm="7">
        <v>8</v>
      </c>
      <c r="K39" vm="866">
        <v>13.7</v>
      </c>
      <c r="L39" vm="867">
        <v>0.4</v>
      </c>
      <c r="N39" t="s" vm="7">
        <v>8</v>
      </c>
      <c r="O39" vm="866">
        <v>13.7</v>
      </c>
      <c r="P39" t="e">
        <v>#N/A</v>
      </c>
      <c r="Q39" vm="865">
        <v>0.4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863">
        <v>17.600000000000001</v>
      </c>
      <c r="L40" vm="864">
        <v>1.1000000000000001</v>
      </c>
      <c r="N40" t="s" vm="3">
        <v>7</v>
      </c>
      <c r="O40" vm="863">
        <v>17.600000000000001</v>
      </c>
      <c r="P40" vm="862">
        <v>1.1000000000000001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12</v>
      </c>
      <c r="L43" s="1">
        <v>-2.4</v>
      </c>
    </row>
    <row r="44" spans="10:22" x14ac:dyDescent="0.4">
      <c r="J44" t="s">
        <v>5</v>
      </c>
      <c r="K44" s="1">
        <v>32</v>
      </c>
      <c r="L44" s="1">
        <v>2</v>
      </c>
    </row>
    <row r="45" spans="10:22" x14ac:dyDescent="0.4">
      <c r="J45" t="s">
        <v>4</v>
      </c>
      <c r="K45" s="1">
        <v>20.540740740740745</v>
      </c>
      <c r="L45" s="2">
        <v>-9.9999999999999978E-2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12</v>
      </c>
      <c r="L48">
        <v>-9.9999999999999978E-2</v>
      </c>
    </row>
    <row r="49" spans="10:12" x14ac:dyDescent="0.4">
      <c r="K49" s="1">
        <v>32</v>
      </c>
      <c r="L49" s="2">
        <v>-9.9999999999999978E-2</v>
      </c>
    </row>
    <row r="51" spans="10:12" x14ac:dyDescent="0.4">
      <c r="J51" t="s">
        <v>0</v>
      </c>
      <c r="K51" s="2">
        <v>20.540740740740745</v>
      </c>
      <c r="L51" s="1">
        <v>-2.4</v>
      </c>
    </row>
    <row r="52" spans="10:12" x14ac:dyDescent="0.4">
      <c r="K52" s="2">
        <v>20.540740740740745</v>
      </c>
      <c r="L52" s="1">
        <v>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>
                <anchor moveWithCells="1" sizeWithCells="1">
                  <from>
                    <xdr:col>16</xdr:col>
                    <xdr:colOff>511629</xdr:colOff>
                    <xdr:row>43</xdr:row>
                    <xdr:rowOff>141514</xdr:rowOff>
                  </from>
                  <to>
                    <xdr:col>20</xdr:col>
                    <xdr:colOff>217714</xdr:colOff>
                    <xdr:row>50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A945F-5C4B-4D71-97EC-B5C78A0581F1}">
  <sheetPr codeName="Sheet14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026">
        <f>K6</f>
        <v>2023</v>
      </c>
      <c r="C5" s="34"/>
      <c r="D5" s="34"/>
      <c r="E5" s="34"/>
      <c r="F5" s="34"/>
      <c r="G5" s="35"/>
      <c r="J5" t="s">
        <v>49</v>
      </c>
      <c r="K5" t="s" vm="1027">
        <v>78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026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77</v>
      </c>
    </row>
    <row r="10" spans="2:22" ht="16.75" thickTop="1" thickBot="1" x14ac:dyDescent="0.45">
      <c r="B10" s="14" t="s">
        <v>97</v>
      </c>
      <c r="C10" s="15" t="s">
        <v>23</v>
      </c>
      <c r="D10" s="16"/>
      <c r="E10" s="17" t="s">
        <v>200</v>
      </c>
      <c r="F10" s="16" t="s">
        <v>201</v>
      </c>
      <c r="G10" s="18"/>
    </row>
    <row r="11" spans="2:22" ht="16.3" thickBot="1" x14ac:dyDescent="0.45">
      <c r="B11" s="19" t="s">
        <v>98</v>
      </c>
      <c r="C11" s="20" t="s">
        <v>30</v>
      </c>
      <c r="D11" s="21" t="s">
        <v>202</v>
      </c>
      <c r="E11" s="21" t="s">
        <v>12</v>
      </c>
      <c r="F11" s="22" t="s">
        <v>26</v>
      </c>
      <c r="G11" s="23"/>
    </row>
    <row r="12" spans="2:22" ht="16.3" thickBot="1" x14ac:dyDescent="0.45">
      <c r="B12" s="19" t="s">
        <v>94</v>
      </c>
      <c r="C12" s="20"/>
      <c r="D12" s="24" t="s">
        <v>195</v>
      </c>
      <c r="E12" s="24" t="s">
        <v>203</v>
      </c>
      <c r="F12" s="24" t="s">
        <v>204</v>
      </c>
      <c r="G12" s="25" t="s">
        <v>20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18</v>
      </c>
      <c r="D13" s="28" t="s">
        <v>22</v>
      </c>
      <c r="E13" s="28" t="s">
        <v>25</v>
      </c>
      <c r="F13" s="28" t="s">
        <v>16</v>
      </c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 t="s">
        <v>10</v>
      </c>
      <c r="D14" s="31"/>
      <c r="E14" s="31" t="s">
        <v>31</v>
      </c>
      <c r="F14" s="31" t="s">
        <v>24</v>
      </c>
      <c r="G14" s="32"/>
      <c r="J14" t="s" vm="107">
        <v>33</v>
      </c>
      <c r="K14" vm="1024">
        <v>22.7</v>
      </c>
      <c r="L14" vm="1025">
        <v>1.1000000000000001</v>
      </c>
      <c r="N14" t="s" vm="107">
        <v>33</v>
      </c>
      <c r="O14" vm="1024">
        <v>22.7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023">
        <v>1.1000000000000001</v>
      </c>
      <c r="V14" t="e">
        <v>#N/A</v>
      </c>
    </row>
    <row r="15" spans="2:22" ht="15" thickTop="1" x14ac:dyDescent="0.4">
      <c r="J15" t="s" vm="103">
        <v>32</v>
      </c>
      <c r="K15" vm="1021">
        <v>19</v>
      </c>
      <c r="L15" vm="1022">
        <v>-0.6</v>
      </c>
      <c r="N15" t="s" vm="103">
        <v>32</v>
      </c>
      <c r="O15" vm="1021">
        <v>19</v>
      </c>
      <c r="P15" t="e">
        <v>#N/A</v>
      </c>
      <c r="Q15" t="e">
        <v>#N/A</v>
      </c>
      <c r="R15" vm="1020">
        <v>-0.6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018">
        <v>33.9</v>
      </c>
      <c r="L16" vm="1019">
        <v>0</v>
      </c>
      <c r="N16" t="s" vm="99">
        <v>31</v>
      </c>
      <c r="O16" vm="1018">
        <v>33.9</v>
      </c>
      <c r="P16" t="e">
        <v>#N/A</v>
      </c>
      <c r="Q16" t="e">
        <v>#N/A</v>
      </c>
      <c r="R16" t="e">
        <v>#N/A</v>
      </c>
      <c r="S16" t="e">
        <v>#N/A</v>
      </c>
      <c r="T16" vm="1017">
        <v>0</v>
      </c>
      <c r="U16" t="e">
        <v>#N/A</v>
      </c>
      <c r="V16" t="e">
        <v>#N/A</v>
      </c>
    </row>
    <row r="17" spans="10:22" x14ac:dyDescent="0.4">
      <c r="J17" t="s" vm="95">
        <v>30</v>
      </c>
      <c r="K17" vm="1015">
        <v>16.7</v>
      </c>
      <c r="L17" vm="1016">
        <v>-1.4</v>
      </c>
      <c r="N17" t="s" vm="95">
        <v>30</v>
      </c>
      <c r="O17" vm="1015">
        <v>16.7</v>
      </c>
      <c r="P17" t="e">
        <v>#N/A</v>
      </c>
      <c r="Q17" t="e">
        <v>#N/A</v>
      </c>
      <c r="R17" vm="1014">
        <v>-1.4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012">
        <v>15</v>
      </c>
      <c r="L18" vm="1013">
        <v>1.6</v>
      </c>
      <c r="N18" t="s" vm="91">
        <v>29</v>
      </c>
      <c r="O18" vm="1012">
        <v>15</v>
      </c>
      <c r="P18" t="e">
        <v>#N/A</v>
      </c>
      <c r="Q18" vm="1011">
        <v>1.6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009">
        <v>23.9</v>
      </c>
      <c r="L19" vm="1010">
        <v>-0.5</v>
      </c>
      <c r="N19" t="s" vm="87">
        <v>28</v>
      </c>
      <c r="O19" vm="1009">
        <v>23.9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1008">
        <v>-0.5</v>
      </c>
      <c r="V19" t="e">
        <v>#N/A</v>
      </c>
    </row>
    <row r="20" spans="10:22" x14ac:dyDescent="0.4">
      <c r="J20" t="s" vm="83">
        <v>27</v>
      </c>
      <c r="K20" vm="1006">
        <v>15.3</v>
      </c>
      <c r="L20" vm="1007">
        <v>1.5</v>
      </c>
      <c r="N20" t="s" vm="83">
        <v>27</v>
      </c>
      <c r="O20" vm="1006">
        <v>15.3</v>
      </c>
      <c r="P20" t="e">
        <v>#N/A</v>
      </c>
      <c r="Q20" vm="1005">
        <v>1.5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003">
        <v>18.3</v>
      </c>
      <c r="L21" vm="1004">
        <v>1.7</v>
      </c>
      <c r="N21" t="s" vm="79">
        <v>26</v>
      </c>
      <c r="O21" vm="1003">
        <v>18.3</v>
      </c>
      <c r="P21" t="e">
        <v>#N/A</v>
      </c>
      <c r="Q21" t="e">
        <v>#N/A</v>
      </c>
      <c r="R21" vm="1002">
        <v>1.7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000">
        <v>28.1</v>
      </c>
      <c r="L22" vm="1001">
        <v>0</v>
      </c>
      <c r="N22" t="s" vm="75">
        <v>25</v>
      </c>
      <c r="O22" vm="1000">
        <v>28.1</v>
      </c>
      <c r="P22" t="e">
        <v>#N/A</v>
      </c>
      <c r="Q22" t="e">
        <v>#N/A</v>
      </c>
      <c r="R22" t="e">
        <v>#N/A</v>
      </c>
      <c r="S22" vm="999">
        <v>0</v>
      </c>
      <c r="T22" t="e">
        <v>#N/A</v>
      </c>
      <c r="U22" t="e">
        <v>#N/A</v>
      </c>
      <c r="V22" t="e">
        <v>#N/A</v>
      </c>
    </row>
    <row r="23" spans="10:22" x14ac:dyDescent="0.4">
      <c r="J23" t="s" vm="71">
        <v>24</v>
      </c>
      <c r="K23" vm="997">
        <v>34.5</v>
      </c>
      <c r="L23" vm="998">
        <v>2.2999999999999998</v>
      </c>
      <c r="N23" t="s" vm="71">
        <v>24</v>
      </c>
      <c r="O23" vm="997">
        <v>34.5</v>
      </c>
      <c r="P23" t="e">
        <v>#N/A</v>
      </c>
      <c r="Q23" t="e">
        <v>#N/A</v>
      </c>
      <c r="R23" t="e">
        <v>#N/A</v>
      </c>
      <c r="S23" t="e">
        <v>#N/A</v>
      </c>
      <c r="T23" vm="996">
        <v>2.2999999999999998</v>
      </c>
      <c r="U23" t="e">
        <v>#N/A</v>
      </c>
      <c r="V23" t="e">
        <v>#N/A</v>
      </c>
    </row>
    <row r="24" spans="10:22" x14ac:dyDescent="0.4">
      <c r="J24" t="s" vm="67">
        <v>23</v>
      </c>
      <c r="K24" vm="994">
        <v>13.8</v>
      </c>
      <c r="L24" vm="995">
        <v>-1.1000000000000001</v>
      </c>
      <c r="N24" t="s" vm="67">
        <v>23</v>
      </c>
      <c r="O24" vm="994">
        <v>13.8</v>
      </c>
      <c r="P24" t="e">
        <v>#N/A</v>
      </c>
      <c r="Q24" vm="993">
        <v>-1.1000000000000001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991">
        <v>26.6</v>
      </c>
      <c r="L25" vm="992">
        <v>-0.5</v>
      </c>
      <c r="N25" t="s" vm="63">
        <v>22</v>
      </c>
      <c r="O25" vm="991">
        <v>26.6</v>
      </c>
      <c r="P25" t="e">
        <v>#N/A</v>
      </c>
      <c r="Q25" t="e">
        <v>#N/A</v>
      </c>
      <c r="R25" t="e">
        <v>#N/A</v>
      </c>
      <c r="S25" vm="990">
        <v>-0.5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988">
        <v>17.3</v>
      </c>
      <c r="L26" vm="989">
        <v>-0.8</v>
      </c>
      <c r="N26" t="s" vm="59">
        <v>21</v>
      </c>
      <c r="O26" vm="988">
        <v>17.3</v>
      </c>
      <c r="P26" t="e">
        <v>#N/A</v>
      </c>
      <c r="Q26" t="e">
        <v>#N/A</v>
      </c>
      <c r="R26" vm="987">
        <v>-0.8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985">
        <v>24.4</v>
      </c>
      <c r="L27" vm="986">
        <v>6.3</v>
      </c>
      <c r="N27" t="s" vm="55">
        <v>20</v>
      </c>
      <c r="O27" vm="985">
        <v>24.4</v>
      </c>
      <c r="P27" t="e">
        <v>#N/A</v>
      </c>
      <c r="Q27" t="e">
        <v>#N/A</v>
      </c>
      <c r="R27" t="e">
        <v>#N/A</v>
      </c>
      <c r="S27" vm="984">
        <v>6.3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982">
        <v>24.3</v>
      </c>
      <c r="L28" vm="983">
        <v>2</v>
      </c>
      <c r="N28" t="s" vm="51">
        <v>19</v>
      </c>
      <c r="O28" vm="982">
        <v>24.3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981">
        <v>2</v>
      </c>
      <c r="V28" t="e">
        <v>#N/A</v>
      </c>
    </row>
    <row r="29" spans="10:22" x14ac:dyDescent="0.4">
      <c r="J29" t="s" vm="47">
        <v>18</v>
      </c>
      <c r="K29" vm="979">
        <v>27.1</v>
      </c>
      <c r="L29" vm="980">
        <v>-1.4</v>
      </c>
      <c r="N29" t="s" vm="47">
        <v>18</v>
      </c>
      <c r="O29" vm="979">
        <v>27.1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vm="978">
        <v>-1.4</v>
      </c>
    </row>
    <row r="30" spans="10:22" x14ac:dyDescent="0.4">
      <c r="J30" t="s" vm="43">
        <v>17</v>
      </c>
      <c r="K30" vm="976">
        <v>21.7</v>
      </c>
      <c r="L30" vm="977">
        <v>-0.7</v>
      </c>
      <c r="N30" t="s" vm="43">
        <v>17</v>
      </c>
      <c r="O30" vm="976">
        <v>21.7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975">
        <v>-0.7</v>
      </c>
      <c r="V30" t="e">
        <v>#N/A</v>
      </c>
    </row>
    <row r="31" spans="10:22" x14ac:dyDescent="0.4">
      <c r="J31" t="s" vm="39">
        <v>16</v>
      </c>
      <c r="K31" vm="973">
        <v>26.1</v>
      </c>
      <c r="L31" vm="974">
        <v>2.1</v>
      </c>
      <c r="N31" t="s" vm="39">
        <v>16</v>
      </c>
      <c r="O31" vm="973">
        <v>26.1</v>
      </c>
      <c r="P31" t="e">
        <v>#N/A</v>
      </c>
      <c r="Q31" t="e">
        <v>#N/A</v>
      </c>
      <c r="R31" t="e">
        <v>#N/A</v>
      </c>
      <c r="S31" vm="972">
        <v>2.1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970">
        <v>20.3</v>
      </c>
      <c r="L32" vm="971">
        <v>0.5</v>
      </c>
      <c r="N32" t="s" vm="35">
        <v>15</v>
      </c>
      <c r="O32" vm="970">
        <v>20.3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969">
        <v>0.5</v>
      </c>
      <c r="V32" t="e">
        <v>#N/A</v>
      </c>
    </row>
    <row r="33" spans="10:22" x14ac:dyDescent="0.4">
      <c r="J33" t="s" vm="31">
        <v>14</v>
      </c>
      <c r="K33" vm="967">
        <v>25.2</v>
      </c>
      <c r="L33" vm="968">
        <v>2.1</v>
      </c>
      <c r="N33" t="s" vm="31">
        <v>14</v>
      </c>
      <c r="O33" vm="967">
        <v>25.2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vm="966">
        <v>2.1</v>
      </c>
      <c r="V33" t="e">
        <v>#N/A</v>
      </c>
    </row>
    <row r="34" spans="10:22" x14ac:dyDescent="0.4">
      <c r="J34" t="s" vm="27">
        <v>13</v>
      </c>
      <c r="K34" vm="964">
        <v>15.9</v>
      </c>
      <c r="L34" vm="965">
        <v>2</v>
      </c>
      <c r="N34" t="s" vm="27">
        <v>13</v>
      </c>
      <c r="O34" vm="964">
        <v>15.9</v>
      </c>
      <c r="P34" t="e">
        <v>#N/A</v>
      </c>
      <c r="Q34" vm="963">
        <v>2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961">
        <v>16.899999999999999</v>
      </c>
      <c r="L35" vm="962">
        <v>0.2</v>
      </c>
      <c r="N35" t="s" vm="23">
        <v>12</v>
      </c>
      <c r="O35" vm="961">
        <v>16.899999999999999</v>
      </c>
      <c r="P35" t="e">
        <v>#N/A</v>
      </c>
      <c r="Q35" t="e">
        <v>#N/A</v>
      </c>
      <c r="R35" vm="960">
        <v>0.2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958">
        <v>22.6</v>
      </c>
      <c r="L36" vm="959">
        <v>1.9</v>
      </c>
      <c r="N36" t="s" vm="19">
        <v>11</v>
      </c>
      <c r="O36" vm="958">
        <v>22.6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957">
        <v>1.9</v>
      </c>
      <c r="V36" t="e">
        <v>#N/A</v>
      </c>
    </row>
    <row r="37" spans="10:22" x14ac:dyDescent="0.4">
      <c r="J37" t="s" vm="15">
        <v>10</v>
      </c>
      <c r="K37" vm="955">
        <v>39</v>
      </c>
      <c r="L37" vm="956">
        <v>-2.5</v>
      </c>
      <c r="N37" t="s" vm="15">
        <v>10</v>
      </c>
      <c r="O37" vm="955">
        <v>39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vm="954">
        <v>-2.5</v>
      </c>
    </row>
    <row r="38" spans="10:22" x14ac:dyDescent="0.4">
      <c r="J38" t="s" vm="11">
        <v>9</v>
      </c>
      <c r="K38" vm="952">
        <v>21.6</v>
      </c>
      <c r="L38" vm="953">
        <v>1.7</v>
      </c>
      <c r="N38" t="s" vm="11">
        <v>9</v>
      </c>
      <c r="O38" vm="952">
        <v>21.6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951">
        <v>1.7</v>
      </c>
      <c r="V38" t="e">
        <v>#N/A</v>
      </c>
    </row>
    <row r="39" spans="10:22" x14ac:dyDescent="0.4">
      <c r="J39" t="s" vm="7">
        <v>8</v>
      </c>
      <c r="K39" vm="949">
        <v>10.7</v>
      </c>
      <c r="L39" vm="950">
        <v>0.4</v>
      </c>
      <c r="N39" t="s" vm="7">
        <v>8</v>
      </c>
      <c r="O39" vm="949">
        <v>10.7</v>
      </c>
      <c r="P39" t="e">
        <v>#N/A</v>
      </c>
      <c r="Q39" vm="948">
        <v>0.4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946">
        <v>25.3</v>
      </c>
      <c r="L40" vm="947">
        <v>0.6</v>
      </c>
      <c r="N40" t="s" vm="3">
        <v>7</v>
      </c>
      <c r="O40" vm="946">
        <v>25.3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945">
        <v>0.6</v>
      </c>
      <c r="V40" t="e">
        <v>#N/A</v>
      </c>
    </row>
    <row r="43" spans="10:22" x14ac:dyDescent="0.4">
      <c r="J43" t="s">
        <v>6</v>
      </c>
      <c r="K43" s="1">
        <v>10.7</v>
      </c>
      <c r="L43" s="1">
        <v>-2.5</v>
      </c>
    </row>
    <row r="44" spans="10:22" x14ac:dyDescent="0.4">
      <c r="J44" t="s">
        <v>5</v>
      </c>
      <c r="K44" s="1">
        <v>39</v>
      </c>
      <c r="L44" s="1">
        <v>6.3</v>
      </c>
    </row>
    <row r="45" spans="10:22" x14ac:dyDescent="0.4">
      <c r="J45" t="s">
        <v>4</v>
      </c>
      <c r="K45" s="1">
        <v>22.451851851851853</v>
      </c>
      <c r="L45" s="2">
        <v>0.68518518518518501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10.7</v>
      </c>
      <c r="L48">
        <v>0.68518518518518501</v>
      </c>
    </row>
    <row r="49" spans="10:12" x14ac:dyDescent="0.4">
      <c r="K49" s="1">
        <v>39</v>
      </c>
      <c r="L49" s="2">
        <v>0.68518518518518501</v>
      </c>
    </row>
    <row r="51" spans="10:12" x14ac:dyDescent="0.4">
      <c r="J51" t="s">
        <v>0</v>
      </c>
      <c r="K51" s="2">
        <v>22.451851851851853</v>
      </c>
      <c r="L51" s="1">
        <v>-2.5</v>
      </c>
    </row>
    <row r="52" spans="10:12" x14ac:dyDescent="0.4">
      <c r="K52" s="2">
        <v>22.451851851851853</v>
      </c>
      <c r="L52" s="1">
        <v>6.3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16</xdr:col>
                    <xdr:colOff>174171</xdr:colOff>
                    <xdr:row>43</xdr:row>
                    <xdr:rowOff>179614</xdr:rowOff>
                  </from>
                  <to>
                    <xdr:col>19</xdr:col>
                    <xdr:colOff>473529</xdr:colOff>
                    <xdr:row>50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29EBE-D3FA-4E8B-A091-0E88FD9A25FC}">
  <sheetPr codeName="Sheet15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09">
        <f>K6</f>
        <v>2023</v>
      </c>
      <c r="C5" s="34"/>
      <c r="D5" s="34"/>
      <c r="E5" s="34"/>
      <c r="F5" s="34"/>
      <c r="G5" s="35"/>
      <c r="J5" t="s">
        <v>49</v>
      </c>
      <c r="K5" t="s" vm="1110">
        <v>81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0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80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79</v>
      </c>
    </row>
    <row r="10" spans="2:22" ht="16.75" thickTop="1" thickBot="1" x14ac:dyDescent="0.45">
      <c r="B10" s="14" t="s">
        <v>97</v>
      </c>
      <c r="C10" s="15" t="s">
        <v>32</v>
      </c>
      <c r="D10" s="16" t="s">
        <v>27</v>
      </c>
      <c r="E10" s="17" t="s">
        <v>148</v>
      </c>
      <c r="F10" s="16"/>
      <c r="G10" s="18"/>
    </row>
    <row r="11" spans="2:22" ht="16.3" thickBot="1" x14ac:dyDescent="0.45">
      <c r="B11" s="19" t="s">
        <v>98</v>
      </c>
      <c r="C11" s="20"/>
      <c r="D11" s="21"/>
      <c r="E11" s="21" t="s">
        <v>149</v>
      </c>
      <c r="F11" s="22" t="s">
        <v>33</v>
      </c>
      <c r="G11" s="23"/>
    </row>
    <row r="12" spans="2:22" ht="16.3" thickBot="1" x14ac:dyDescent="0.45">
      <c r="B12" s="19" t="s">
        <v>94</v>
      </c>
      <c r="C12" s="20" t="s">
        <v>150</v>
      </c>
      <c r="D12" s="24"/>
      <c r="E12" s="24" t="s">
        <v>151</v>
      </c>
      <c r="F12" s="24" t="s">
        <v>152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31</v>
      </c>
      <c r="D13" s="28"/>
      <c r="E13" s="28" t="s">
        <v>153</v>
      </c>
      <c r="F13" s="28"/>
      <c r="G13" s="25" t="s">
        <v>16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 t="s">
        <v>154</v>
      </c>
      <c r="F14" s="31" t="s">
        <v>25</v>
      </c>
      <c r="G14" s="32" t="s">
        <v>155</v>
      </c>
      <c r="J14" t="s" vm="107">
        <v>33</v>
      </c>
      <c r="K14" vm="1107">
        <v>39.18</v>
      </c>
      <c r="L14" vm="1108">
        <v>-2.78</v>
      </c>
      <c r="N14" t="s" vm="107">
        <v>33</v>
      </c>
      <c r="O14" vm="1107">
        <v>39.18</v>
      </c>
      <c r="P14" t="e">
        <v>#N/A</v>
      </c>
      <c r="Q14" t="e">
        <v>#N/A</v>
      </c>
      <c r="R14" vm="1106">
        <v>-2.78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104">
        <v>50.8</v>
      </c>
      <c r="L15" vm="1105">
        <v>1.96</v>
      </c>
      <c r="N15" t="s" vm="103">
        <v>32</v>
      </c>
      <c r="O15" vm="1104">
        <v>50.8</v>
      </c>
      <c r="P15" t="e">
        <v>#N/A</v>
      </c>
      <c r="Q15" vm="1103">
        <v>1.96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101">
        <v>27.72</v>
      </c>
      <c r="L16" vm="1102">
        <v>3.3</v>
      </c>
      <c r="N16" t="s" vm="99">
        <v>31</v>
      </c>
      <c r="O16" vm="1101">
        <v>27.72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vm="1100">
        <v>3.3</v>
      </c>
    </row>
    <row r="17" spans="10:22" x14ac:dyDescent="0.4">
      <c r="J17" t="s" vm="95">
        <v>30</v>
      </c>
      <c r="K17" vm="1098">
        <v>30.5</v>
      </c>
      <c r="L17" vm="1099">
        <v>-0.35</v>
      </c>
      <c r="N17" t="s" vm="95">
        <v>30</v>
      </c>
      <c r="O17" vm="1098">
        <v>30.5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1097">
        <v>-0.35</v>
      </c>
      <c r="V17" t="e">
        <v>#N/A</v>
      </c>
    </row>
    <row r="18" spans="10:22" x14ac:dyDescent="0.4">
      <c r="J18" t="s" vm="91">
        <v>29</v>
      </c>
      <c r="K18" vm="1095">
        <v>39.51</v>
      </c>
      <c r="L18" vm="1096">
        <v>-0.49</v>
      </c>
      <c r="N18" t="s" vm="91">
        <v>29</v>
      </c>
      <c r="O18" vm="1095">
        <v>39.51</v>
      </c>
      <c r="P18" t="e">
        <v>#N/A</v>
      </c>
      <c r="Q18" t="e">
        <v>#N/A</v>
      </c>
      <c r="R18" vm="1094">
        <v>-0.49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092">
        <v>41.7</v>
      </c>
      <c r="L19" vm="1093">
        <v>-0.49</v>
      </c>
      <c r="N19" t="s" vm="87">
        <v>28</v>
      </c>
      <c r="O19" vm="1092">
        <v>41.7</v>
      </c>
      <c r="P19" t="e">
        <v>#N/A</v>
      </c>
      <c r="Q19" t="e">
        <v>#N/A</v>
      </c>
      <c r="R19" vm="1091">
        <v>-0.49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089">
        <v>51.44</v>
      </c>
      <c r="L20" vm="1090">
        <v>1.04</v>
      </c>
      <c r="N20" t="s" vm="83">
        <v>27</v>
      </c>
      <c r="O20" vm="1089">
        <v>51.44</v>
      </c>
      <c r="P20" t="e">
        <v>#N/A</v>
      </c>
      <c r="Q20" vm="1088">
        <v>1.04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086">
        <v>27.65</v>
      </c>
      <c r="L21" vm="1087">
        <v>-0.43</v>
      </c>
      <c r="N21" t="s" vm="79">
        <v>26</v>
      </c>
      <c r="O21" vm="1086">
        <v>27.65</v>
      </c>
      <c r="P21" t="e">
        <v>#N/A</v>
      </c>
      <c r="Q21" t="e">
        <v>#N/A</v>
      </c>
      <c r="R21" t="e">
        <v>#N/A</v>
      </c>
      <c r="S21" vm="1085">
        <v>-0.43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083">
        <v>18.18</v>
      </c>
      <c r="L22" vm="1084">
        <v>-2.16</v>
      </c>
      <c r="N22" t="s" vm="75">
        <v>25</v>
      </c>
      <c r="O22" vm="1083">
        <v>18.18</v>
      </c>
      <c r="P22" t="e">
        <v>#N/A</v>
      </c>
      <c r="Q22" t="e">
        <v>#N/A</v>
      </c>
      <c r="R22" t="e">
        <v>#N/A</v>
      </c>
      <c r="S22" t="e">
        <v>#N/A</v>
      </c>
      <c r="T22" vm="1082">
        <v>-2.16</v>
      </c>
      <c r="U22" t="e">
        <v>#N/A</v>
      </c>
      <c r="V22" t="e">
        <v>#N/A</v>
      </c>
    </row>
    <row r="23" spans="10:22" x14ac:dyDescent="0.4">
      <c r="J23" t="s" vm="71">
        <v>24</v>
      </c>
      <c r="K23" vm="1080">
        <v>22.9</v>
      </c>
      <c r="L23" vm="1081">
        <v>-4.5</v>
      </c>
      <c r="N23" t="s" vm="71">
        <v>24</v>
      </c>
      <c r="O23" vm="1080">
        <v>22.9</v>
      </c>
      <c r="P23" t="e">
        <v>#N/A</v>
      </c>
      <c r="Q23" t="e">
        <v>#N/A</v>
      </c>
      <c r="R23" t="e">
        <v>#N/A</v>
      </c>
      <c r="S23" t="e">
        <v>#N/A</v>
      </c>
      <c r="T23" vm="1079">
        <v>-4.5</v>
      </c>
      <c r="U23" t="e">
        <v>#N/A</v>
      </c>
      <c r="V23" t="e">
        <v>#N/A</v>
      </c>
    </row>
    <row r="24" spans="10:22" x14ac:dyDescent="0.4">
      <c r="J24" t="s" vm="67">
        <v>23</v>
      </c>
      <c r="K24" vm="1077">
        <v>48.74</v>
      </c>
      <c r="L24" vm="1078">
        <v>-1.06</v>
      </c>
      <c r="N24" t="s" vm="67">
        <v>23</v>
      </c>
      <c r="O24" vm="1077">
        <v>48.74</v>
      </c>
      <c r="P24" t="e">
        <v>#N/A</v>
      </c>
      <c r="Q24" vm="1076">
        <v>-1.06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074">
        <v>41.89</v>
      </c>
      <c r="L25" vm="1075">
        <v>-0.12</v>
      </c>
      <c r="N25" t="s" vm="63">
        <v>22</v>
      </c>
      <c r="O25" vm="1074">
        <v>41.89</v>
      </c>
      <c r="P25" t="e">
        <v>#N/A</v>
      </c>
      <c r="Q25" t="e">
        <v>#N/A</v>
      </c>
      <c r="R25" vm="1073">
        <v>-0.12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071">
        <v>20.9</v>
      </c>
      <c r="L26" vm="1072">
        <v>0.55000000000000004</v>
      </c>
      <c r="N26" t="s" vm="59">
        <v>21</v>
      </c>
      <c r="O26" vm="1071">
        <v>20.9</v>
      </c>
      <c r="P26" t="e">
        <v>#N/A</v>
      </c>
      <c r="Q26" t="e">
        <v>#N/A</v>
      </c>
      <c r="R26" t="e">
        <v>#N/A</v>
      </c>
      <c r="S26" t="e">
        <v>#N/A</v>
      </c>
      <c r="T26" vm="1070">
        <v>0.55000000000000004</v>
      </c>
      <c r="U26" t="e">
        <v>#N/A</v>
      </c>
      <c r="V26" t="e">
        <v>#N/A</v>
      </c>
    </row>
    <row r="27" spans="10:22" x14ac:dyDescent="0.4">
      <c r="J27" t="s" vm="55">
        <v>20</v>
      </c>
      <c r="K27" vm="1068">
        <v>34.5</v>
      </c>
      <c r="L27" vm="1069">
        <v>-2.15</v>
      </c>
      <c r="N27" t="s" vm="55">
        <v>20</v>
      </c>
      <c r="O27" vm="1068">
        <v>34.5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1067">
        <v>-2.15</v>
      </c>
      <c r="V27" t="e">
        <v>#N/A</v>
      </c>
    </row>
    <row r="28" spans="10:22" x14ac:dyDescent="0.4">
      <c r="J28" t="s" vm="51">
        <v>19</v>
      </c>
      <c r="K28" vm="1065">
        <v>57.75</v>
      </c>
      <c r="L28" vm="1066">
        <v>0.56000000000000005</v>
      </c>
      <c r="N28" t="s" vm="51">
        <v>19</v>
      </c>
      <c r="O28" vm="1065">
        <v>57.75</v>
      </c>
      <c r="P28" t="e">
        <v>#N/A</v>
      </c>
      <c r="Q28" vm="1064">
        <v>0.56000000000000005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062">
        <v>30.51</v>
      </c>
      <c r="L29" vm="1063">
        <v>4.68</v>
      </c>
      <c r="N29" t="s" vm="47">
        <v>18</v>
      </c>
      <c r="O29" vm="1062">
        <v>30.51</v>
      </c>
      <c r="P29" t="e">
        <v>#N/A</v>
      </c>
      <c r="Q29" t="e">
        <v>#N/A</v>
      </c>
      <c r="R29" vm="1061">
        <v>4.68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059">
        <v>29.93</v>
      </c>
      <c r="L30" vm="1060">
        <v>-0.4</v>
      </c>
      <c r="N30" t="s" vm="43">
        <v>17</v>
      </c>
      <c r="O30" vm="1059">
        <v>29.93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1058">
        <v>-0.4</v>
      </c>
      <c r="V30" t="e">
        <v>#N/A</v>
      </c>
    </row>
    <row r="31" spans="10:22" x14ac:dyDescent="0.4">
      <c r="J31" t="s" vm="39">
        <v>16</v>
      </c>
      <c r="K31" vm="1056">
        <v>27.41</v>
      </c>
      <c r="L31" vm="1057">
        <v>-6.31</v>
      </c>
      <c r="N31" t="s" vm="39">
        <v>16</v>
      </c>
      <c r="O31" vm="1056">
        <v>27.41</v>
      </c>
      <c r="P31" t="e">
        <v>#N/A</v>
      </c>
      <c r="Q31" t="e">
        <v>#N/A</v>
      </c>
      <c r="R31" t="e">
        <v>#N/A</v>
      </c>
      <c r="S31" vm="1055">
        <v>-6.31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053">
        <v>23.47</v>
      </c>
      <c r="L32" vm="1054">
        <v>-1.53</v>
      </c>
      <c r="N32" t="s" vm="35">
        <v>15</v>
      </c>
      <c r="O32" vm="1053">
        <v>23.47</v>
      </c>
      <c r="P32" t="e">
        <v>#N/A</v>
      </c>
      <c r="Q32" t="e">
        <v>#N/A</v>
      </c>
      <c r="R32" t="e">
        <v>#N/A</v>
      </c>
      <c r="S32" vm="1052">
        <v>-1.53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1050">
        <v>25.56</v>
      </c>
      <c r="L33" vm="1051">
        <v>-0.87</v>
      </c>
      <c r="N33" t="s" vm="31">
        <v>14</v>
      </c>
      <c r="O33" vm="1050">
        <v>25.56</v>
      </c>
      <c r="P33" t="e">
        <v>#N/A</v>
      </c>
      <c r="Q33" t="e">
        <v>#N/A</v>
      </c>
      <c r="R33" t="e">
        <v>#N/A</v>
      </c>
      <c r="S33" vm="1049">
        <v>-0.87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047">
        <v>38.39</v>
      </c>
      <c r="L34" vm="1048">
        <v>4.5999999999999996</v>
      </c>
      <c r="N34" t="s" vm="27">
        <v>13</v>
      </c>
      <c r="O34" vm="1047">
        <v>38.39</v>
      </c>
      <c r="P34" t="e">
        <v>#N/A</v>
      </c>
      <c r="Q34" t="e">
        <v>#N/A</v>
      </c>
      <c r="R34" vm="1046">
        <v>4.5999999999999996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044">
        <v>36.07</v>
      </c>
      <c r="L35" vm="1045">
        <v>-2.5</v>
      </c>
      <c r="N35" t="s" vm="23">
        <v>12</v>
      </c>
      <c r="O35" vm="1044">
        <v>36.07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vm="1043">
        <v>-2.5</v>
      </c>
      <c r="V35" t="e">
        <v>#N/A</v>
      </c>
    </row>
    <row r="36" spans="10:22" x14ac:dyDescent="0.4">
      <c r="J36" t="s" vm="19">
        <v>11</v>
      </c>
      <c r="K36" vm="1041">
        <v>19.809999999999999</v>
      </c>
      <c r="L36" vm="1042">
        <v>-3.91</v>
      </c>
      <c r="N36" t="s" vm="19">
        <v>11</v>
      </c>
      <c r="O36" vm="1041">
        <v>19.809999999999999</v>
      </c>
      <c r="P36" t="e">
        <v>#N/A</v>
      </c>
      <c r="Q36" t="e">
        <v>#N/A</v>
      </c>
      <c r="R36" t="e">
        <v>#N/A</v>
      </c>
      <c r="S36" t="e">
        <v>#N/A</v>
      </c>
      <c r="T36" vm="1040">
        <v>-3.91</v>
      </c>
      <c r="U36" t="e">
        <v>#N/A</v>
      </c>
      <c r="V36" t="e">
        <v>#N/A</v>
      </c>
    </row>
    <row r="37" spans="10:22" x14ac:dyDescent="0.4">
      <c r="J37" t="s" vm="15">
        <v>10</v>
      </c>
      <c r="K37" vm="1038">
        <v>15.6</v>
      </c>
      <c r="L37" vm="1039">
        <v>-0.94</v>
      </c>
      <c r="N37" t="s" vm="15">
        <v>10</v>
      </c>
      <c r="O37" vm="1038">
        <v>15.6</v>
      </c>
      <c r="P37" t="e">
        <v>#N/A</v>
      </c>
      <c r="Q37" t="e">
        <v>#N/A</v>
      </c>
      <c r="R37" t="e">
        <v>#N/A</v>
      </c>
      <c r="S37" t="e">
        <v>#N/A</v>
      </c>
      <c r="T37" vm="1037">
        <v>-0.94</v>
      </c>
      <c r="U37" t="e">
        <v>#N/A</v>
      </c>
      <c r="V37" t="e">
        <v>#N/A</v>
      </c>
    </row>
    <row r="38" spans="10:22" x14ac:dyDescent="0.4">
      <c r="J38" t="s" vm="11">
        <v>9</v>
      </c>
      <c r="K38" vm="1035">
        <v>36.86</v>
      </c>
      <c r="L38" vm="1036">
        <v>-2.99</v>
      </c>
      <c r="N38" t="s" vm="11">
        <v>9</v>
      </c>
      <c r="O38" vm="1035">
        <v>36.86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034">
        <v>-2.99</v>
      </c>
      <c r="V38" t="e">
        <v>#N/A</v>
      </c>
    </row>
    <row r="39" spans="10:22" x14ac:dyDescent="0.4">
      <c r="J39" t="s" vm="7">
        <v>8</v>
      </c>
      <c r="K39" vm="1032">
        <v>35.53</v>
      </c>
      <c r="L39" vm="1033">
        <v>-1.78</v>
      </c>
      <c r="N39" t="s" vm="7">
        <v>8</v>
      </c>
      <c r="O39" vm="1032">
        <v>35.53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1031">
        <v>-1.78</v>
      </c>
      <c r="V39" t="e">
        <v>#N/A</v>
      </c>
    </row>
    <row r="40" spans="10:22" x14ac:dyDescent="0.4">
      <c r="J40" t="s" vm="3">
        <v>7</v>
      </c>
      <c r="K40" vm="1029">
        <v>36.44</v>
      </c>
      <c r="L40" vm="1030">
        <v>2.62</v>
      </c>
      <c r="N40" t="s" vm="3">
        <v>7</v>
      </c>
      <c r="O40" vm="1029">
        <v>36.44</v>
      </c>
      <c r="P40" t="e">
        <v>#N/A</v>
      </c>
      <c r="Q40" t="e">
        <v>#N/A</v>
      </c>
      <c r="R40" vm="1028">
        <v>2.62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15.6</v>
      </c>
      <c r="L43" s="1">
        <v>-6.31</v>
      </c>
    </row>
    <row r="44" spans="10:22" x14ac:dyDescent="0.4">
      <c r="J44" t="s">
        <v>5</v>
      </c>
      <c r="K44" s="1">
        <v>57.75</v>
      </c>
      <c r="L44" s="1">
        <v>4.68</v>
      </c>
    </row>
    <row r="45" spans="10:22" x14ac:dyDescent="0.4">
      <c r="J45" t="s">
        <v>4</v>
      </c>
      <c r="K45" s="1">
        <v>33.664444444444435</v>
      </c>
      <c r="L45" s="2">
        <v>-0.60925925925925928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15.6</v>
      </c>
      <c r="L48">
        <v>-0.60925925925925928</v>
      </c>
    </row>
    <row r="49" spans="10:12" x14ac:dyDescent="0.4">
      <c r="K49" s="1">
        <v>57.75</v>
      </c>
      <c r="L49" s="2">
        <v>-0.60925925925925928</v>
      </c>
    </row>
    <row r="51" spans="10:12" x14ac:dyDescent="0.4">
      <c r="J51" t="s">
        <v>0</v>
      </c>
      <c r="K51" s="2">
        <v>33.664444444444435</v>
      </c>
      <c r="L51" s="1">
        <v>-6.31</v>
      </c>
    </row>
    <row r="52" spans="10:12" x14ac:dyDescent="0.4">
      <c r="K52" s="2">
        <v>33.664444444444435</v>
      </c>
      <c r="L52" s="1">
        <v>4.68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>
                <anchor moveWithCells="1" sizeWithCells="1">
                  <from>
                    <xdr:col>16</xdr:col>
                    <xdr:colOff>54429</xdr:colOff>
                    <xdr:row>43</xdr:row>
                    <xdr:rowOff>125186</xdr:rowOff>
                  </from>
                  <to>
                    <xdr:col>19</xdr:col>
                    <xdr:colOff>348343</xdr:colOff>
                    <xdr:row>50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B544-D7DE-4C3E-966B-F212C8BCF512}">
  <sheetPr codeName="Sheet16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190">
        <f>K6</f>
        <v>2023</v>
      </c>
      <c r="C5" s="34"/>
      <c r="D5" s="34"/>
      <c r="E5" s="34"/>
      <c r="F5" s="34"/>
      <c r="G5" s="35"/>
      <c r="J5" t="s">
        <v>49</v>
      </c>
      <c r="K5" t="s" vm="1191">
        <v>83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190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82</v>
      </c>
    </row>
    <row r="10" spans="2:22" ht="16.75" thickTop="1" thickBot="1" x14ac:dyDescent="0.45">
      <c r="B10" s="14" t="s">
        <v>97</v>
      </c>
      <c r="C10" s="15"/>
      <c r="D10" s="16"/>
      <c r="E10" s="17" t="s">
        <v>135</v>
      </c>
      <c r="F10" s="16"/>
      <c r="G10" s="18"/>
    </row>
    <row r="11" spans="2:22" ht="16.3" thickBot="1" x14ac:dyDescent="0.45">
      <c r="B11" s="19" t="s">
        <v>98</v>
      </c>
      <c r="C11" s="20" t="s">
        <v>26</v>
      </c>
      <c r="D11" s="21" t="s">
        <v>15</v>
      </c>
      <c r="E11" s="21" t="s">
        <v>136</v>
      </c>
      <c r="F11" s="22"/>
      <c r="G11" s="23"/>
    </row>
    <row r="12" spans="2:22" ht="16.3" thickBot="1" x14ac:dyDescent="0.45">
      <c r="B12" s="19" t="s">
        <v>94</v>
      </c>
      <c r="C12" s="20" t="s">
        <v>14</v>
      </c>
      <c r="D12" s="24" t="s">
        <v>9</v>
      </c>
      <c r="E12" s="24" t="s">
        <v>137</v>
      </c>
      <c r="F12" s="24" t="s">
        <v>33</v>
      </c>
      <c r="G12" s="25" t="s">
        <v>16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 t="s">
        <v>138</v>
      </c>
      <c r="E13" s="28"/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 t="s">
        <v>17</v>
      </c>
      <c r="E14" s="31" t="s">
        <v>139</v>
      </c>
      <c r="F14" s="31" t="s">
        <v>140</v>
      </c>
      <c r="G14" s="32" t="s">
        <v>31</v>
      </c>
      <c r="J14" t="s" vm="107">
        <v>33</v>
      </c>
      <c r="K14" vm="1188">
        <v>26.1</v>
      </c>
      <c r="L14" vm="1189">
        <v>2.2999999999999998</v>
      </c>
      <c r="N14" t="s" vm="107">
        <v>33</v>
      </c>
      <c r="O14" vm="1188">
        <v>26.1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vm="1187">
        <v>2.2999999999999998</v>
      </c>
      <c r="V14" t="e">
        <v>#N/A</v>
      </c>
    </row>
    <row r="15" spans="2:22" ht="15" thickTop="1" x14ac:dyDescent="0.4">
      <c r="J15" t="s" vm="103">
        <v>32</v>
      </c>
      <c r="K15" vm="1185">
        <v>33.6</v>
      </c>
      <c r="L15" vm="1186">
        <v>-1.7</v>
      </c>
      <c r="N15" t="s" vm="103">
        <v>32</v>
      </c>
      <c r="O15" vm="1185">
        <v>33.6</v>
      </c>
      <c r="P15" t="e">
        <v>#N/A</v>
      </c>
      <c r="Q15" t="e">
        <v>#N/A</v>
      </c>
      <c r="R15" t="e">
        <v>#N/A</v>
      </c>
      <c r="S15" t="e">
        <v>#N/A</v>
      </c>
      <c r="T15" vm="1184">
        <v>-1.7</v>
      </c>
      <c r="U15" t="e">
        <v>#N/A</v>
      </c>
      <c r="V15" t="e">
        <v>#N/A</v>
      </c>
    </row>
    <row r="16" spans="2:22" x14ac:dyDescent="0.4">
      <c r="J16" t="s" vm="99">
        <v>31</v>
      </c>
      <c r="K16" vm="1182">
        <v>39.5</v>
      </c>
      <c r="L16" vm="1183">
        <v>10</v>
      </c>
      <c r="N16" t="s" vm="99">
        <v>31</v>
      </c>
      <c r="O16" vm="1182">
        <v>39.5</v>
      </c>
      <c r="P16" t="e">
        <v>#N/A</v>
      </c>
      <c r="Q16" t="e">
        <v>#N/A</v>
      </c>
      <c r="R16" t="e">
        <v>#N/A</v>
      </c>
      <c r="S16" t="e">
        <v>#N/A</v>
      </c>
      <c r="T16" vm="1181">
        <v>10</v>
      </c>
      <c r="U16" t="e">
        <v>#N/A</v>
      </c>
      <c r="V16" t="e">
        <v>#N/A</v>
      </c>
    </row>
    <row r="17" spans="10:22" x14ac:dyDescent="0.4">
      <c r="J17" t="s" vm="95">
        <v>30</v>
      </c>
      <c r="K17" vm="1179">
        <v>24.7</v>
      </c>
      <c r="L17" vm="1180">
        <v>-1</v>
      </c>
      <c r="N17" t="s" vm="95">
        <v>30</v>
      </c>
      <c r="O17" vm="1179">
        <v>24.7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vm="1178">
        <v>-1</v>
      </c>
      <c r="V17" t="e">
        <v>#N/A</v>
      </c>
    </row>
    <row r="18" spans="10:22" x14ac:dyDescent="0.4">
      <c r="J18" t="s" vm="91">
        <v>29</v>
      </c>
      <c r="K18" vm="1176">
        <v>22.2</v>
      </c>
      <c r="L18" vm="1177">
        <v>-0.5</v>
      </c>
      <c r="N18" t="s" vm="91">
        <v>29</v>
      </c>
      <c r="O18" vm="1176">
        <v>22.2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1175">
        <v>-0.5</v>
      </c>
      <c r="V18" t="e">
        <v>#N/A</v>
      </c>
    </row>
    <row r="19" spans="10:22" x14ac:dyDescent="0.4">
      <c r="J19" t="s" vm="87">
        <v>28</v>
      </c>
      <c r="K19" vm="1173">
        <v>22.6</v>
      </c>
      <c r="L19" vm="1174">
        <v>-1.6</v>
      </c>
      <c r="N19" t="s" vm="87">
        <v>28</v>
      </c>
      <c r="O19" vm="1173">
        <v>22.6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vm="1172">
        <v>-1.6</v>
      </c>
      <c r="V19" t="e">
        <v>#N/A</v>
      </c>
    </row>
    <row r="20" spans="10:22" x14ac:dyDescent="0.4">
      <c r="J20" t="s" vm="83">
        <v>27</v>
      </c>
      <c r="K20" vm="1171">
        <v>20.399999999999999</v>
      </c>
      <c r="L20" t="e">
        <v>#N/A</v>
      </c>
      <c r="N20" t="s" vm="83">
        <v>27</v>
      </c>
      <c r="O20" vm="1171">
        <v>20.399999999999999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169">
        <v>20.2</v>
      </c>
      <c r="L21" vm="1170">
        <v>-6</v>
      </c>
      <c r="N21" t="s" vm="79">
        <v>26</v>
      </c>
      <c r="O21" vm="1169">
        <v>20.2</v>
      </c>
      <c r="P21" t="e">
        <v>#N/A</v>
      </c>
      <c r="Q21" t="e">
        <v>#N/A</v>
      </c>
      <c r="R21" vm="1168">
        <v>-6</v>
      </c>
      <c r="S21" t="e">
        <v>#N/A</v>
      </c>
      <c r="T21" t="e">
        <v>#N/A</v>
      </c>
      <c r="U21" t="e">
        <v>#N/A</v>
      </c>
      <c r="V21" t="e">
        <v>#N/A</v>
      </c>
    </row>
    <row r="22" spans="10:22" x14ac:dyDescent="0.4">
      <c r="J22" t="s" vm="75">
        <v>25</v>
      </c>
      <c r="K22" vm="1166">
        <v>26</v>
      </c>
      <c r="L22" vm="1167">
        <v>0.1</v>
      </c>
      <c r="N22" t="s" vm="75">
        <v>25</v>
      </c>
      <c r="O22" vm="1166">
        <v>26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1165">
        <v>0.1</v>
      </c>
      <c r="V22" t="e">
        <v>#N/A</v>
      </c>
    </row>
    <row r="23" spans="10:22" x14ac:dyDescent="0.4">
      <c r="J23" t="s" vm="71">
        <v>24</v>
      </c>
      <c r="K23" vm="1163">
        <v>13.8</v>
      </c>
      <c r="L23" vm="1164">
        <v>-0.8</v>
      </c>
      <c r="N23" t="s" vm="71">
        <v>24</v>
      </c>
      <c r="O23" vm="1163">
        <v>13.8</v>
      </c>
      <c r="P23" t="e">
        <v>#N/A</v>
      </c>
      <c r="Q23" vm="1162">
        <v>-0.8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1160">
        <v>19.399999999999999</v>
      </c>
      <c r="L24" vm="1161">
        <v>0.4</v>
      </c>
      <c r="N24" t="s" vm="67">
        <v>23</v>
      </c>
      <c r="O24" vm="1160">
        <v>19.399999999999999</v>
      </c>
      <c r="P24" t="e">
        <v>#N/A</v>
      </c>
      <c r="Q24" t="e">
        <v>#N/A</v>
      </c>
      <c r="R24" vm="1159">
        <v>0.4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157">
        <v>19.899999999999999</v>
      </c>
      <c r="L25" vm="1158">
        <v>-0.9</v>
      </c>
      <c r="N25" t="s" vm="63">
        <v>22</v>
      </c>
      <c r="O25" vm="1157">
        <v>19.899999999999999</v>
      </c>
      <c r="P25" t="e">
        <v>#N/A</v>
      </c>
      <c r="Q25" t="e">
        <v>#N/A</v>
      </c>
      <c r="R25" vm="1156">
        <v>-0.9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154">
        <v>39.200000000000003</v>
      </c>
      <c r="L26" vm="1155">
        <v>3.2</v>
      </c>
      <c r="N26" t="s" vm="59">
        <v>21</v>
      </c>
      <c r="O26" vm="1154">
        <v>39.200000000000003</v>
      </c>
      <c r="P26" t="e">
        <v>#N/A</v>
      </c>
      <c r="Q26" t="e">
        <v>#N/A</v>
      </c>
      <c r="R26" t="e">
        <v>#N/A</v>
      </c>
      <c r="S26" t="e">
        <v>#N/A</v>
      </c>
      <c r="T26" vm="1153">
        <v>3.2</v>
      </c>
      <c r="U26" t="e">
        <v>#N/A</v>
      </c>
      <c r="V26" t="e">
        <v>#N/A</v>
      </c>
    </row>
    <row r="27" spans="10:22" x14ac:dyDescent="0.4">
      <c r="J27" t="s" vm="55">
        <v>20</v>
      </c>
      <c r="K27" vm="1151">
        <v>29.6</v>
      </c>
      <c r="L27" vm="1152">
        <v>-2.8</v>
      </c>
      <c r="N27" t="s" vm="55">
        <v>20</v>
      </c>
      <c r="O27" vm="1151">
        <v>29.6</v>
      </c>
      <c r="P27" t="e">
        <v>#N/A</v>
      </c>
      <c r="Q27" t="e">
        <v>#N/A</v>
      </c>
      <c r="R27" t="e">
        <v>#N/A</v>
      </c>
      <c r="S27" vm="1150">
        <v>-2.8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1148">
        <v>36.700000000000003</v>
      </c>
      <c r="L28" vm="1149">
        <v>0.1</v>
      </c>
      <c r="N28" t="s" vm="51">
        <v>19</v>
      </c>
      <c r="O28" vm="1148">
        <v>36.700000000000003</v>
      </c>
      <c r="P28" t="e">
        <v>#N/A</v>
      </c>
      <c r="Q28" t="e">
        <v>#N/A</v>
      </c>
      <c r="R28" t="e">
        <v>#N/A</v>
      </c>
      <c r="S28" t="e">
        <v>#N/A</v>
      </c>
      <c r="T28" vm="1147">
        <v>0.1</v>
      </c>
      <c r="U28" t="e">
        <v>#N/A</v>
      </c>
      <c r="V28" t="e">
        <v>#N/A</v>
      </c>
    </row>
    <row r="29" spans="10:22" x14ac:dyDescent="0.4">
      <c r="J29" t="s" vm="47">
        <v>18</v>
      </c>
      <c r="K29" vm="1145">
        <v>15.9</v>
      </c>
      <c r="L29" vm="1146">
        <v>1.9</v>
      </c>
      <c r="N29" t="s" vm="47">
        <v>18</v>
      </c>
      <c r="O29" vm="1145">
        <v>15.9</v>
      </c>
      <c r="P29" t="e">
        <v>#N/A</v>
      </c>
      <c r="Q29" vm="1144">
        <v>1.9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142">
        <v>32.4</v>
      </c>
      <c r="L30" vm="1143">
        <v>-2.6</v>
      </c>
      <c r="N30" t="s" vm="43">
        <v>17</v>
      </c>
      <c r="O30" vm="1142">
        <v>32.4</v>
      </c>
      <c r="P30" t="e">
        <v>#N/A</v>
      </c>
      <c r="Q30" t="e">
        <v>#N/A</v>
      </c>
      <c r="R30" t="e">
        <v>#N/A</v>
      </c>
      <c r="S30" t="e">
        <v>#N/A</v>
      </c>
      <c r="T30" vm="1141">
        <v>-2.6</v>
      </c>
      <c r="U30" t="e">
        <v>#N/A</v>
      </c>
      <c r="V30" t="e">
        <v>#N/A</v>
      </c>
    </row>
    <row r="31" spans="10:22" x14ac:dyDescent="0.4">
      <c r="J31" t="s" vm="39">
        <v>16</v>
      </c>
      <c r="K31" vm="1139">
        <v>23.7</v>
      </c>
      <c r="L31" vm="1140">
        <v>15.2</v>
      </c>
      <c r="N31" t="s" vm="39">
        <v>16</v>
      </c>
      <c r="O31" vm="1139">
        <v>23.7</v>
      </c>
      <c r="P31" t="e">
        <v>#N/A</v>
      </c>
      <c r="Q31" t="e">
        <v>#N/A</v>
      </c>
      <c r="R31" t="e">
        <v>#N/A</v>
      </c>
      <c r="S31" vm="1138">
        <v>15.2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136">
        <v>18.5</v>
      </c>
      <c r="L32" vm="1137">
        <v>-2.2999999999999998</v>
      </c>
      <c r="N32" t="s" vm="35">
        <v>15</v>
      </c>
      <c r="O32" vm="1136">
        <v>18.5</v>
      </c>
      <c r="P32" t="e">
        <v>#N/A</v>
      </c>
      <c r="Q32" t="e">
        <v>#N/A</v>
      </c>
      <c r="R32" vm="1135">
        <v>-2.2999999999999998</v>
      </c>
      <c r="S32" t="e">
        <v>#N/A</v>
      </c>
      <c r="T32" t="e">
        <v>#N/A</v>
      </c>
      <c r="U32" t="e">
        <v>#N/A</v>
      </c>
      <c r="V32" t="e">
        <v>#N/A</v>
      </c>
    </row>
    <row r="33" spans="10:22" x14ac:dyDescent="0.4">
      <c r="J33" t="s" vm="31">
        <v>14</v>
      </c>
      <c r="K33" vm="1133">
        <v>25.8</v>
      </c>
      <c r="L33" vm="1134">
        <v>-4.3</v>
      </c>
      <c r="N33" t="s" vm="31">
        <v>14</v>
      </c>
      <c r="O33" vm="1133">
        <v>25.8</v>
      </c>
      <c r="P33" t="e">
        <v>#N/A</v>
      </c>
      <c r="Q33" t="e">
        <v>#N/A</v>
      </c>
      <c r="R33" vm="1132">
        <v>-4.3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130">
        <v>23.8</v>
      </c>
      <c r="L34" vm="1131">
        <v>-1.4</v>
      </c>
      <c r="N34" t="s" vm="27">
        <v>13</v>
      </c>
      <c r="O34" vm="1130">
        <v>23.8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1129">
        <v>-1.4</v>
      </c>
      <c r="V34" t="e">
        <v>#N/A</v>
      </c>
    </row>
    <row r="35" spans="10:22" x14ac:dyDescent="0.4">
      <c r="J35" t="s" vm="23">
        <v>12</v>
      </c>
      <c r="K35" vm="1127">
        <v>33.9</v>
      </c>
      <c r="L35" vm="1128">
        <v>2.6</v>
      </c>
      <c r="N35" t="s" vm="23">
        <v>12</v>
      </c>
      <c r="O35" vm="1127">
        <v>33.9</v>
      </c>
      <c r="P35" t="e">
        <v>#N/A</v>
      </c>
      <c r="Q35" t="e">
        <v>#N/A</v>
      </c>
      <c r="R35" t="e">
        <v>#N/A</v>
      </c>
      <c r="S35" t="e">
        <v>#N/A</v>
      </c>
      <c r="T35" vm="1126">
        <v>2.6</v>
      </c>
      <c r="U35" t="e">
        <v>#N/A</v>
      </c>
      <c r="V35" t="e">
        <v>#N/A</v>
      </c>
    </row>
    <row r="36" spans="10:22" x14ac:dyDescent="0.4">
      <c r="J36" t="s" vm="19">
        <v>11</v>
      </c>
      <c r="K36" vm="1124">
        <v>14</v>
      </c>
      <c r="L36" vm="1125">
        <v>0.9</v>
      </c>
      <c r="N36" t="s" vm="19">
        <v>11</v>
      </c>
      <c r="O36" vm="1124">
        <v>14</v>
      </c>
      <c r="P36" t="e">
        <v>#N/A</v>
      </c>
      <c r="Q36" vm="1123">
        <v>0.9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121">
        <v>29.2</v>
      </c>
      <c r="L37" vm="1122">
        <v>-2.8</v>
      </c>
      <c r="N37" t="s" vm="15">
        <v>10</v>
      </c>
      <c r="O37" vm="1121">
        <v>29.2</v>
      </c>
      <c r="P37" t="e">
        <v>#N/A</v>
      </c>
      <c r="Q37" t="e">
        <v>#N/A</v>
      </c>
      <c r="R37" t="e">
        <v>#N/A</v>
      </c>
      <c r="S37" vm="1120">
        <v>-2.8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1118">
        <v>23.2</v>
      </c>
      <c r="L38" vm="1119">
        <v>-2.5</v>
      </c>
      <c r="N38" t="s" vm="11">
        <v>9</v>
      </c>
      <c r="O38" vm="1118">
        <v>23.2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117">
        <v>-2.5</v>
      </c>
      <c r="V38" t="e">
        <v>#N/A</v>
      </c>
    </row>
    <row r="39" spans="10:22" x14ac:dyDescent="0.4">
      <c r="J39" t="s" vm="7">
        <v>8</v>
      </c>
      <c r="K39" vm="1115">
        <v>17.3</v>
      </c>
      <c r="L39" vm="1116">
        <v>-1.5</v>
      </c>
      <c r="N39" t="s" vm="7">
        <v>8</v>
      </c>
      <c r="O39" vm="1115">
        <v>17.3</v>
      </c>
      <c r="P39" t="e">
        <v>#N/A</v>
      </c>
      <c r="Q39" vm="1114">
        <v>-1.5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12">
        <v>22.1</v>
      </c>
      <c r="L40" vm="1113">
        <v>1.1000000000000001</v>
      </c>
      <c r="N40" t="s" vm="3">
        <v>7</v>
      </c>
      <c r="O40" vm="1112">
        <v>22.1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1111">
        <v>1.1000000000000001</v>
      </c>
      <c r="V40" t="e">
        <v>#N/A</v>
      </c>
    </row>
    <row r="43" spans="10:22" x14ac:dyDescent="0.4">
      <c r="J43" t="s">
        <v>6</v>
      </c>
      <c r="K43" s="1">
        <v>13.8</v>
      </c>
      <c r="L43" s="1">
        <v>-6</v>
      </c>
    </row>
    <row r="44" spans="10:22" x14ac:dyDescent="0.4">
      <c r="J44" t="s">
        <v>5</v>
      </c>
      <c r="K44" s="1">
        <v>39.5</v>
      </c>
      <c r="L44" s="1">
        <v>15.2</v>
      </c>
    </row>
    <row r="45" spans="10:22" x14ac:dyDescent="0.4">
      <c r="J45" t="s">
        <v>4</v>
      </c>
      <c r="K45" s="1">
        <v>24.951851851851849</v>
      </c>
      <c r="L45" s="2">
        <v>0.19615384615384615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13.8</v>
      </c>
      <c r="L48">
        <v>0.19615384615384615</v>
      </c>
    </row>
    <row r="49" spans="10:12" x14ac:dyDescent="0.4">
      <c r="K49" s="1">
        <v>39.5</v>
      </c>
      <c r="L49" s="2">
        <v>0.19615384615384615</v>
      </c>
    </row>
    <row r="51" spans="10:12" x14ac:dyDescent="0.4">
      <c r="J51" t="s">
        <v>0</v>
      </c>
      <c r="K51" s="2">
        <v>24.951851851851849</v>
      </c>
      <c r="L51" s="1">
        <v>-6</v>
      </c>
    </row>
    <row r="52" spans="10:12" x14ac:dyDescent="0.4">
      <c r="K52" s="2">
        <v>24.951851851851849</v>
      </c>
      <c r="L52" s="1">
        <v>15.2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>
                <anchor moveWithCells="1" sizeWithCells="1">
                  <from>
                    <xdr:col>15</xdr:col>
                    <xdr:colOff>419100</xdr:colOff>
                    <xdr:row>42</xdr:row>
                    <xdr:rowOff>179614</xdr:rowOff>
                  </from>
                  <to>
                    <xdr:col>19</xdr:col>
                    <xdr:colOff>125186</xdr:colOff>
                    <xdr:row>49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BAE2B-05EA-4EFC-8F3D-92532D572ABE}">
  <sheetPr codeName="Sheet17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273">
        <f>K6</f>
        <v>2023</v>
      </c>
      <c r="C5" s="34"/>
      <c r="D5" s="34"/>
      <c r="E5" s="34"/>
      <c r="F5" s="34"/>
      <c r="G5" s="35"/>
      <c r="J5" t="s">
        <v>49</v>
      </c>
      <c r="K5" t="s" vm="1274">
        <v>86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273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85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84</v>
      </c>
    </row>
    <row r="10" spans="2:22" ht="16.75" thickTop="1" thickBot="1" x14ac:dyDescent="0.45">
      <c r="B10" s="14" t="s">
        <v>97</v>
      </c>
      <c r="C10" s="15"/>
      <c r="D10" s="16"/>
      <c r="E10" s="17" t="s">
        <v>30</v>
      </c>
      <c r="F10" s="16"/>
      <c r="G10" s="18"/>
    </row>
    <row r="11" spans="2:22" ht="16.3" thickBot="1" x14ac:dyDescent="0.45">
      <c r="B11" s="19" t="s">
        <v>98</v>
      </c>
      <c r="C11" s="20"/>
      <c r="D11" s="21" t="s">
        <v>173</v>
      </c>
      <c r="E11" s="21" t="s">
        <v>174</v>
      </c>
      <c r="F11" s="22"/>
      <c r="G11" s="23" t="s">
        <v>7</v>
      </c>
    </row>
    <row r="12" spans="2:22" ht="16.3" thickBot="1" x14ac:dyDescent="0.45">
      <c r="B12" s="19" t="s">
        <v>94</v>
      </c>
      <c r="C12" s="20" t="s">
        <v>175</v>
      </c>
      <c r="D12" s="24" t="s">
        <v>176</v>
      </c>
      <c r="E12" s="24" t="s">
        <v>177</v>
      </c>
      <c r="F12" s="24" t="s">
        <v>178</v>
      </c>
      <c r="G12" s="25" t="s">
        <v>14</v>
      </c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28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 t="s">
        <v>179</v>
      </c>
      <c r="F14" s="31"/>
      <c r="G14" s="32" t="s">
        <v>16</v>
      </c>
      <c r="J14" t="s" vm="107">
        <v>33</v>
      </c>
      <c r="K14" vm="1271">
        <v>6</v>
      </c>
      <c r="L14" vm="1272">
        <v>-1.4</v>
      </c>
      <c r="N14" t="s" vm="107">
        <v>33</v>
      </c>
      <c r="O14" vm="1271">
        <v>6</v>
      </c>
      <c r="P14" t="e">
        <v>#N/A</v>
      </c>
      <c r="Q14" t="e">
        <v>#N/A</v>
      </c>
      <c r="R14" vm="1270">
        <v>-1.4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268">
        <v>7.7</v>
      </c>
      <c r="L15" vm="1269">
        <v>0</v>
      </c>
      <c r="N15" t="s" vm="103">
        <v>32</v>
      </c>
      <c r="O15" vm="1268">
        <v>7.7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vm="1267">
        <v>0</v>
      </c>
      <c r="V15" t="e">
        <v>#N/A</v>
      </c>
    </row>
    <row r="16" spans="2:22" x14ac:dyDescent="0.4">
      <c r="J16" t="s" vm="99">
        <v>31</v>
      </c>
      <c r="K16" vm="1265">
        <v>11.1</v>
      </c>
      <c r="L16" vm="1266">
        <v>-4</v>
      </c>
      <c r="N16" t="s" vm="99">
        <v>31</v>
      </c>
      <c r="O16" vm="1265">
        <v>11.1</v>
      </c>
      <c r="P16" t="e">
        <v>#N/A</v>
      </c>
      <c r="Q16" t="e">
        <v>#N/A</v>
      </c>
      <c r="R16" vm="1264">
        <v>-4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262">
        <v>2.6</v>
      </c>
      <c r="L17" vm="1263">
        <v>0.1</v>
      </c>
      <c r="N17" t="s" vm="95">
        <v>30</v>
      </c>
      <c r="O17" vm="1262">
        <v>2.6</v>
      </c>
      <c r="P17" t="e">
        <v>#N/A</v>
      </c>
      <c r="Q17" vm="1261">
        <v>0.1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259">
        <v>9.1</v>
      </c>
      <c r="L18" vm="1260">
        <v>2.2000000000000002</v>
      </c>
      <c r="N18" t="s" vm="91">
        <v>29</v>
      </c>
      <c r="O18" vm="1259">
        <v>9.1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vm="1258">
        <v>2.2000000000000002</v>
      </c>
      <c r="V18" t="e">
        <v>#N/A</v>
      </c>
    </row>
    <row r="19" spans="10:22" x14ac:dyDescent="0.4">
      <c r="J19" t="s" vm="87">
        <v>28</v>
      </c>
      <c r="K19" vm="1256">
        <v>13</v>
      </c>
      <c r="L19" vm="1257">
        <v>1.1000000000000001</v>
      </c>
      <c r="N19" t="s" vm="87">
        <v>28</v>
      </c>
      <c r="O19" vm="1256">
        <v>13</v>
      </c>
      <c r="P19" t="e">
        <v>#N/A</v>
      </c>
      <c r="Q19" t="e">
        <v>#N/A</v>
      </c>
      <c r="R19" t="e">
        <v>#N/A</v>
      </c>
      <c r="S19" vm="1255">
        <v>1.1000000000000001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253">
        <v>15.4</v>
      </c>
      <c r="L20" vm="1254">
        <v>0.7</v>
      </c>
      <c r="N20" t="s" vm="83">
        <v>27</v>
      </c>
      <c r="O20" vm="1253">
        <v>15.4</v>
      </c>
      <c r="P20" t="e">
        <v>#N/A</v>
      </c>
      <c r="Q20" t="e">
        <v>#N/A</v>
      </c>
      <c r="R20" t="e">
        <v>#N/A</v>
      </c>
      <c r="S20" t="e">
        <v>#N/A</v>
      </c>
      <c r="T20" vm="1252">
        <v>0.7</v>
      </c>
      <c r="U20" t="e">
        <v>#N/A</v>
      </c>
      <c r="V20" t="e">
        <v>#N/A</v>
      </c>
    </row>
    <row r="21" spans="10:22" x14ac:dyDescent="0.4">
      <c r="J21" t="s" vm="79">
        <v>26</v>
      </c>
      <c r="K21" vm="1250">
        <v>7.6</v>
      </c>
      <c r="L21" vm="1251">
        <v>2.7</v>
      </c>
      <c r="N21" t="s" vm="79">
        <v>26</v>
      </c>
      <c r="O21" vm="1250">
        <v>7.6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1249">
        <v>2.7</v>
      </c>
      <c r="V21" t="e">
        <v>#N/A</v>
      </c>
    </row>
    <row r="22" spans="10:22" x14ac:dyDescent="0.4">
      <c r="J22" t="s" vm="75">
        <v>25</v>
      </c>
      <c r="K22" vm="1247">
        <v>28.5</v>
      </c>
      <c r="L22" vm="1248">
        <v>1.8</v>
      </c>
      <c r="N22" t="s" vm="75">
        <v>25</v>
      </c>
      <c r="O22" vm="1247">
        <v>28.5</v>
      </c>
      <c r="P22" t="e">
        <v>#N/A</v>
      </c>
      <c r="Q22" t="e">
        <v>#N/A</v>
      </c>
      <c r="R22" t="e">
        <v>#N/A</v>
      </c>
      <c r="S22" t="e">
        <v>#N/A</v>
      </c>
      <c r="T22" vm="1246">
        <v>1.8</v>
      </c>
      <c r="U22" t="e">
        <v>#N/A</v>
      </c>
      <c r="V22" t="e">
        <v>#N/A</v>
      </c>
    </row>
    <row r="23" spans="10:22" x14ac:dyDescent="0.4">
      <c r="J23" t="s" vm="71">
        <v>24</v>
      </c>
      <c r="K23" vm="1244">
        <v>8.1999999999999993</v>
      </c>
      <c r="L23" vm="1245">
        <v>-1</v>
      </c>
      <c r="N23" t="s" vm="71">
        <v>24</v>
      </c>
      <c r="O23" vm="1244">
        <v>8.1999999999999993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1243">
        <v>-1</v>
      </c>
      <c r="V23" t="e">
        <v>#N/A</v>
      </c>
    </row>
    <row r="24" spans="10:22" x14ac:dyDescent="0.4">
      <c r="J24" t="s" vm="67">
        <v>23</v>
      </c>
      <c r="K24" vm="1241">
        <v>5.5</v>
      </c>
      <c r="L24" vm="1242">
        <v>0.1</v>
      </c>
      <c r="N24" t="s" vm="67">
        <v>23</v>
      </c>
      <c r="O24" vm="1241">
        <v>5.5</v>
      </c>
      <c r="P24" t="e">
        <v>#N/A</v>
      </c>
      <c r="Q24" t="e">
        <v>#N/A</v>
      </c>
      <c r="R24" vm="1240">
        <v>0.1</v>
      </c>
      <c r="S24" t="e">
        <v>#N/A</v>
      </c>
      <c r="T24" t="e">
        <v>#N/A</v>
      </c>
      <c r="U24" t="e">
        <v>#N/A</v>
      </c>
      <c r="V24" t="e">
        <v>#N/A</v>
      </c>
    </row>
    <row r="25" spans="10:22" x14ac:dyDescent="0.4">
      <c r="J25" t="s" vm="63">
        <v>22</v>
      </c>
      <c r="K25" vm="1238">
        <v>6.5</v>
      </c>
      <c r="L25" vm="1239">
        <v>0</v>
      </c>
      <c r="N25" t="s" vm="63">
        <v>22</v>
      </c>
      <c r="O25" vm="1238">
        <v>6.5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237">
        <v>0</v>
      </c>
      <c r="V25" t="e">
        <v>#N/A</v>
      </c>
    </row>
    <row r="26" spans="10:22" x14ac:dyDescent="0.4">
      <c r="J26" t="s" vm="59">
        <v>21</v>
      </c>
      <c r="K26" vm="1235">
        <v>4</v>
      </c>
      <c r="L26" vm="1236">
        <v>0.2</v>
      </c>
      <c r="N26" t="s" vm="59">
        <v>21</v>
      </c>
      <c r="O26" vm="1235">
        <v>4</v>
      </c>
      <c r="P26" t="e">
        <v>#N/A</v>
      </c>
      <c r="Q26" t="e">
        <v>#N/A</v>
      </c>
      <c r="R26" vm="1234">
        <v>0.2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232">
        <v>8.6999999999999993</v>
      </c>
      <c r="L27" vm="1233">
        <v>0.6</v>
      </c>
      <c r="N27" t="s" vm="55">
        <v>20</v>
      </c>
      <c r="O27" vm="1232">
        <v>8.6999999999999993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vm="1231">
        <v>0.6</v>
      </c>
      <c r="V27" t="e">
        <v>#N/A</v>
      </c>
    </row>
    <row r="28" spans="10:22" x14ac:dyDescent="0.4">
      <c r="J28" t="s" vm="51">
        <v>19</v>
      </c>
      <c r="K28" vm="1229">
        <v>4.7</v>
      </c>
      <c r="L28" vm="1230">
        <v>1</v>
      </c>
      <c r="N28" t="s" vm="51">
        <v>19</v>
      </c>
      <c r="O28" vm="1229">
        <v>4.7</v>
      </c>
      <c r="P28" t="e">
        <v>#N/A</v>
      </c>
      <c r="Q28" t="e">
        <v>#N/A</v>
      </c>
      <c r="R28" vm="1228">
        <v>1</v>
      </c>
      <c r="S28" t="e">
        <v>#N/A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226">
        <v>5.7</v>
      </c>
      <c r="L29" vm="1227">
        <v>-0.9</v>
      </c>
      <c r="N29" t="s" vm="47">
        <v>18</v>
      </c>
      <c r="O29" vm="1226">
        <v>5.7</v>
      </c>
      <c r="P29" t="e">
        <v>#N/A</v>
      </c>
      <c r="Q29" t="e">
        <v>#N/A</v>
      </c>
      <c r="R29" vm="1225">
        <v>-0.9</v>
      </c>
      <c r="S29" t="e">
        <v>#N/A</v>
      </c>
      <c r="T29" t="e">
        <v>#N/A</v>
      </c>
      <c r="U29" t="e">
        <v>#N/A</v>
      </c>
      <c r="V29" t="e">
        <v>#N/A</v>
      </c>
    </row>
    <row r="30" spans="10:22" x14ac:dyDescent="0.4">
      <c r="J30" t="s" vm="43">
        <v>17</v>
      </c>
      <c r="K30" vm="1223">
        <v>5.2</v>
      </c>
      <c r="L30" vm="1224">
        <v>1.7</v>
      </c>
      <c r="N30" t="s" vm="43">
        <v>17</v>
      </c>
      <c r="O30" vm="1223">
        <v>5.2</v>
      </c>
      <c r="P30" t="e">
        <v>#N/A</v>
      </c>
      <c r="Q30" t="e">
        <v>#N/A</v>
      </c>
      <c r="R30" vm="1222">
        <v>1.7</v>
      </c>
      <c r="S30" t="e">
        <v>#N/A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220">
        <v>22.7</v>
      </c>
      <c r="L31" vm="1221">
        <v>7.5</v>
      </c>
      <c r="N31" t="s" vm="39">
        <v>16</v>
      </c>
      <c r="O31" vm="1220">
        <v>22.7</v>
      </c>
      <c r="P31" t="e">
        <v>#N/A</v>
      </c>
      <c r="Q31" t="e">
        <v>#N/A</v>
      </c>
      <c r="R31" t="e">
        <v>#N/A</v>
      </c>
      <c r="S31" t="e">
        <v>#N/A</v>
      </c>
      <c r="T31" vm="1219">
        <v>7.5</v>
      </c>
      <c r="U31" t="e">
        <v>#N/A</v>
      </c>
      <c r="V31" t="e">
        <v>#N/A</v>
      </c>
    </row>
    <row r="32" spans="10:22" x14ac:dyDescent="0.4">
      <c r="J32" t="s" vm="35">
        <v>15</v>
      </c>
      <c r="K32" vm="1217">
        <v>7.2</v>
      </c>
      <c r="L32" vm="1218">
        <v>1.8</v>
      </c>
      <c r="N32" t="s" vm="35">
        <v>15</v>
      </c>
      <c r="O32" vm="1217">
        <v>7.2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216">
        <v>1.8</v>
      </c>
      <c r="V32" t="e">
        <v>#N/A</v>
      </c>
    </row>
    <row r="33" spans="10:22" x14ac:dyDescent="0.4">
      <c r="J33" t="s" vm="31">
        <v>14</v>
      </c>
      <c r="K33" vm="1214">
        <v>6</v>
      </c>
      <c r="L33" vm="1215">
        <v>3.1</v>
      </c>
      <c r="N33" t="s" vm="31">
        <v>14</v>
      </c>
      <c r="O33" vm="1214">
        <v>6</v>
      </c>
      <c r="P33" t="e">
        <v>#N/A</v>
      </c>
      <c r="Q33" t="e">
        <v>#N/A</v>
      </c>
      <c r="R33" t="e">
        <v>#N/A</v>
      </c>
      <c r="S33" vm="1213">
        <v>3.1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211">
        <v>9.3000000000000007</v>
      </c>
      <c r="L34" vm="1212">
        <v>-0.7</v>
      </c>
      <c r="N34" t="s" vm="27">
        <v>13</v>
      </c>
      <c r="O34" vm="1211">
        <v>9.3000000000000007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vm="1210">
        <v>-0.7</v>
      </c>
      <c r="V34" t="e">
        <v>#N/A</v>
      </c>
    </row>
    <row r="35" spans="10:22" x14ac:dyDescent="0.4">
      <c r="J35" t="s" vm="23">
        <v>12</v>
      </c>
      <c r="K35" vm="1208">
        <v>5.9</v>
      </c>
      <c r="L35" vm="1209">
        <v>0.3</v>
      </c>
      <c r="N35" t="s" vm="23">
        <v>12</v>
      </c>
      <c r="O35" vm="1208">
        <v>5.9</v>
      </c>
      <c r="P35" t="e">
        <v>#N/A</v>
      </c>
      <c r="Q35" t="e">
        <v>#N/A</v>
      </c>
      <c r="R35" vm="1207">
        <v>0.3</v>
      </c>
      <c r="S35" t="e">
        <v>#N/A</v>
      </c>
      <c r="T35" t="e">
        <v>#N/A</v>
      </c>
      <c r="U35" t="e">
        <v>#N/A</v>
      </c>
      <c r="V35" t="e">
        <v>#N/A</v>
      </c>
    </row>
    <row r="36" spans="10:22" x14ac:dyDescent="0.4">
      <c r="J36" t="s" vm="19">
        <v>11</v>
      </c>
      <c r="K36" vm="1205">
        <v>4.9000000000000004</v>
      </c>
      <c r="L36" vm="1206">
        <v>-0.1</v>
      </c>
      <c r="N36" t="s" vm="19">
        <v>11</v>
      </c>
      <c r="O36" vm="1205">
        <v>4.9000000000000004</v>
      </c>
      <c r="P36" t="e">
        <v>#N/A</v>
      </c>
      <c r="Q36" t="e">
        <v>#N/A</v>
      </c>
      <c r="R36" vm="1204">
        <v>-0.1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02">
        <v>9.1</v>
      </c>
      <c r="L37" vm="1203">
        <v>0.6</v>
      </c>
      <c r="N37" t="s" vm="15">
        <v>10</v>
      </c>
      <c r="O37" vm="1202">
        <v>9.1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vm="1201">
        <v>0.6</v>
      </c>
      <c r="V37" t="e">
        <v>#N/A</v>
      </c>
    </row>
    <row r="38" spans="10:22" x14ac:dyDescent="0.4">
      <c r="J38" t="s" vm="11">
        <v>9</v>
      </c>
      <c r="K38" vm="1199">
        <v>10.9</v>
      </c>
      <c r="L38" vm="1200">
        <v>1.8</v>
      </c>
      <c r="N38" t="s" vm="11">
        <v>9</v>
      </c>
      <c r="O38" vm="1199">
        <v>10.9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198">
        <v>1.8</v>
      </c>
      <c r="V38" t="e">
        <v>#N/A</v>
      </c>
    </row>
    <row r="39" spans="10:22" x14ac:dyDescent="0.4">
      <c r="J39" t="s" vm="7">
        <v>8</v>
      </c>
      <c r="K39" vm="1196">
        <v>3.7</v>
      </c>
      <c r="L39" vm="1197">
        <v>-0.4</v>
      </c>
      <c r="N39" t="s" vm="7">
        <v>8</v>
      </c>
      <c r="O39" vm="1196">
        <v>3.7</v>
      </c>
      <c r="P39" t="e">
        <v>#N/A</v>
      </c>
      <c r="Q39" t="e">
        <v>#N/A</v>
      </c>
      <c r="R39" vm="1195">
        <v>-0.4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193">
        <v>5.9</v>
      </c>
      <c r="L40" vm="1194">
        <v>3.4</v>
      </c>
      <c r="N40" t="s" vm="3">
        <v>7</v>
      </c>
      <c r="O40" vm="1193">
        <v>5.9</v>
      </c>
      <c r="P40" vm="1192">
        <v>3.4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</row>
    <row r="43" spans="10:22" x14ac:dyDescent="0.4">
      <c r="J43" t="s">
        <v>6</v>
      </c>
      <c r="K43" s="1">
        <v>2.6</v>
      </c>
      <c r="L43" s="1">
        <v>-4</v>
      </c>
    </row>
    <row r="44" spans="10:22" x14ac:dyDescent="0.4">
      <c r="J44" t="s">
        <v>5</v>
      </c>
      <c r="K44" s="1">
        <v>28.5</v>
      </c>
      <c r="L44" s="1">
        <v>7.5</v>
      </c>
    </row>
    <row r="45" spans="10:22" x14ac:dyDescent="0.4">
      <c r="J45" t="s">
        <v>4</v>
      </c>
      <c r="K45" s="1">
        <v>8.7074074074074055</v>
      </c>
      <c r="L45" s="2">
        <v>0.8222222222222223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2.6</v>
      </c>
      <c r="L48">
        <v>0.8222222222222223</v>
      </c>
    </row>
    <row r="49" spans="10:12" x14ac:dyDescent="0.4">
      <c r="K49" s="1">
        <v>28.5</v>
      </c>
      <c r="L49" s="2">
        <v>0.8222222222222223</v>
      </c>
    </row>
    <row r="51" spans="10:12" x14ac:dyDescent="0.4">
      <c r="J51" t="s">
        <v>0</v>
      </c>
      <c r="K51" s="2">
        <v>8.7074074074074055</v>
      </c>
      <c r="L51" s="1">
        <v>-4</v>
      </c>
    </row>
    <row r="52" spans="10:12" x14ac:dyDescent="0.4">
      <c r="K52" s="2">
        <v>8.7074074074074055</v>
      </c>
      <c r="L52" s="1">
        <v>7.5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>
                <anchor moveWithCells="1" sizeWithCells="1">
                  <from>
                    <xdr:col>16</xdr:col>
                    <xdr:colOff>5443</xdr:colOff>
                    <xdr:row>42</xdr:row>
                    <xdr:rowOff>174171</xdr:rowOff>
                  </from>
                  <to>
                    <xdr:col>19</xdr:col>
                    <xdr:colOff>304800</xdr:colOff>
                    <xdr:row>49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F37DB-3E1B-45C4-B469-EDBEB3ABAC5B}">
  <sheetPr codeName="Sheet18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356">
        <f>K6</f>
        <v>2023</v>
      </c>
      <c r="C5" s="34"/>
      <c r="D5" s="34"/>
      <c r="E5" s="34"/>
      <c r="F5" s="34"/>
      <c r="G5" s="35"/>
      <c r="J5" t="s">
        <v>49</v>
      </c>
      <c r="K5" t="s" vm="1357">
        <v>88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356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e">
        <v>#N/A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87</v>
      </c>
    </row>
    <row r="10" spans="2:22" ht="16.75" thickTop="1" thickBot="1" x14ac:dyDescent="0.45">
      <c r="B10" s="14" t="s">
        <v>97</v>
      </c>
      <c r="C10" s="15"/>
      <c r="D10" s="16" t="s">
        <v>16</v>
      </c>
      <c r="E10" s="17" t="s">
        <v>147</v>
      </c>
      <c r="F10" s="16" t="s">
        <v>13</v>
      </c>
      <c r="G10" s="18" t="s">
        <v>27</v>
      </c>
    </row>
    <row r="11" spans="2:22" ht="16.3" thickBot="1" x14ac:dyDescent="0.45">
      <c r="B11" s="19" t="s">
        <v>98</v>
      </c>
      <c r="C11" s="20" t="s">
        <v>180</v>
      </c>
      <c r="D11" s="21"/>
      <c r="E11" s="21" t="s">
        <v>181</v>
      </c>
      <c r="F11" s="22"/>
      <c r="G11" s="23"/>
    </row>
    <row r="12" spans="2:22" ht="16.3" thickBot="1" x14ac:dyDescent="0.45">
      <c r="B12" s="19" t="s">
        <v>94</v>
      </c>
      <c r="C12" s="20" t="s">
        <v>30</v>
      </c>
      <c r="D12" s="24"/>
      <c r="E12" s="24" t="s">
        <v>182</v>
      </c>
      <c r="F12" s="24"/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 t="s">
        <v>20</v>
      </c>
      <c r="D13" s="28"/>
      <c r="E13" s="28" t="s">
        <v>183</v>
      </c>
      <c r="F13" s="28" t="s">
        <v>184</v>
      </c>
      <c r="G13" s="25" t="s">
        <v>17</v>
      </c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/>
      <c r="F14" s="31" t="s">
        <v>185</v>
      </c>
      <c r="G14" s="32" t="s">
        <v>186</v>
      </c>
      <c r="J14" t="s" vm="107">
        <v>33</v>
      </c>
      <c r="K14" vm="1354">
        <v>24.1</v>
      </c>
      <c r="L14" vm="1355">
        <v>1.1000000000000001</v>
      </c>
      <c r="N14" t="s" vm="107">
        <v>33</v>
      </c>
      <c r="O14" vm="1354">
        <v>24.1</v>
      </c>
      <c r="P14" t="e">
        <v>#N/A</v>
      </c>
      <c r="Q14" t="e">
        <v>#N/A</v>
      </c>
      <c r="R14" t="e">
        <v>#N/A</v>
      </c>
      <c r="S14" vm="1353">
        <v>1.1000000000000001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351">
        <v>56.3</v>
      </c>
      <c r="L15" vm="1352">
        <v>3.6</v>
      </c>
      <c r="N15" t="s" vm="103">
        <v>32</v>
      </c>
      <c r="O15" vm="1351">
        <v>56.3</v>
      </c>
      <c r="P15" t="e">
        <v>#N/A</v>
      </c>
      <c r="Q15" t="e">
        <v>#N/A</v>
      </c>
      <c r="R15" vm="1350">
        <v>3.6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348">
        <v>17.399999999999999</v>
      </c>
      <c r="L16" vm="1349">
        <v>0</v>
      </c>
      <c r="N16" t="s" vm="99">
        <v>31</v>
      </c>
      <c r="O16" vm="1348">
        <v>17.399999999999999</v>
      </c>
      <c r="P16" t="e">
        <v>#N/A</v>
      </c>
      <c r="Q16" t="e">
        <v>#N/A</v>
      </c>
      <c r="R16" t="e">
        <v>#N/A</v>
      </c>
      <c r="S16" vm="1347">
        <v>0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345">
        <v>36.9</v>
      </c>
      <c r="L17" vm="1346">
        <v>12.5</v>
      </c>
      <c r="N17" t="s" vm="95">
        <v>30</v>
      </c>
      <c r="O17" vm="1345">
        <v>36.9</v>
      </c>
      <c r="P17" t="e">
        <v>#N/A</v>
      </c>
      <c r="Q17" t="e">
        <v>#N/A</v>
      </c>
      <c r="R17" vm="1344">
        <v>12.5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342">
        <v>4.4000000000000004</v>
      </c>
      <c r="L18" vm="1343">
        <v>-2.4</v>
      </c>
      <c r="N18" t="s" vm="91">
        <v>29</v>
      </c>
      <c r="O18" vm="1342">
        <v>4.4000000000000004</v>
      </c>
      <c r="P18" t="e">
        <v>#N/A</v>
      </c>
      <c r="Q18" t="e">
        <v>#N/A</v>
      </c>
      <c r="R18" t="e">
        <v>#N/A</v>
      </c>
      <c r="S18" t="e">
        <v>#N/A</v>
      </c>
      <c r="T18" vm="1341">
        <v>-2.4</v>
      </c>
      <c r="U18" t="e">
        <v>#N/A</v>
      </c>
      <c r="V18" t="e">
        <v>#N/A</v>
      </c>
    </row>
    <row r="19" spans="10:22" x14ac:dyDescent="0.4">
      <c r="J19" t="s" vm="87">
        <v>28</v>
      </c>
      <c r="K19" vm="1339">
        <v>23.3</v>
      </c>
      <c r="L19" vm="1340">
        <v>-1.3</v>
      </c>
      <c r="N19" t="s" vm="87">
        <v>28</v>
      </c>
      <c r="O19" vm="1339">
        <v>23.3</v>
      </c>
      <c r="P19" t="e">
        <v>#N/A</v>
      </c>
      <c r="Q19" t="e">
        <v>#N/A</v>
      </c>
      <c r="R19" t="e">
        <v>#N/A</v>
      </c>
      <c r="S19" vm="1338">
        <v>-1.3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336">
        <v>69.900000000000006</v>
      </c>
      <c r="L20" vm="1337">
        <v>-4.8</v>
      </c>
      <c r="N20" t="s" vm="83">
        <v>27</v>
      </c>
      <c r="O20" vm="1336">
        <v>69.900000000000006</v>
      </c>
      <c r="P20" vm="1335">
        <v>-4.8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</row>
    <row r="21" spans="10:22" x14ac:dyDescent="0.4">
      <c r="J21" t="s" vm="79">
        <v>26</v>
      </c>
      <c r="K21" vm="1333">
        <v>37.9</v>
      </c>
      <c r="L21" vm="1334">
        <v>4.2</v>
      </c>
      <c r="N21" t="s" vm="79">
        <v>26</v>
      </c>
      <c r="O21" vm="1333">
        <v>37.9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vm="1332">
        <v>4.2</v>
      </c>
      <c r="V21" t="e">
        <v>#N/A</v>
      </c>
    </row>
    <row r="22" spans="10:22" x14ac:dyDescent="0.4">
      <c r="J22" t="s" vm="75">
        <v>25</v>
      </c>
      <c r="K22" vm="1330">
        <v>29.6</v>
      </c>
      <c r="L22" vm="1331">
        <v>0.5</v>
      </c>
      <c r="N22" t="s" vm="75">
        <v>25</v>
      </c>
      <c r="O22" vm="1330">
        <v>29.6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vm="1329">
        <v>0.5</v>
      </c>
      <c r="V22" t="e">
        <v>#N/A</v>
      </c>
    </row>
    <row r="23" spans="10:22" x14ac:dyDescent="0.4">
      <c r="J23" t="s" vm="71">
        <v>24</v>
      </c>
      <c r="K23" vm="1327">
        <v>55.8</v>
      </c>
      <c r="L23" vm="1328">
        <v>7.2</v>
      </c>
      <c r="N23" t="s" vm="71">
        <v>24</v>
      </c>
      <c r="O23" vm="1327">
        <v>55.8</v>
      </c>
      <c r="P23" t="e">
        <v>#N/A</v>
      </c>
      <c r="Q23" t="e">
        <v>#N/A</v>
      </c>
      <c r="R23" vm="1326">
        <v>7.2</v>
      </c>
      <c r="S23" t="e">
        <v>#N/A</v>
      </c>
      <c r="T23" t="e">
        <v>#N/A</v>
      </c>
      <c r="U23" t="e">
        <v>#N/A</v>
      </c>
      <c r="V23" t="e">
        <v>#N/A</v>
      </c>
    </row>
    <row r="24" spans="10:22" x14ac:dyDescent="0.4">
      <c r="J24" t="s" vm="67">
        <v>23</v>
      </c>
      <c r="K24" vm="1324">
        <v>43.9</v>
      </c>
      <c r="L24" vm="1325">
        <v>3.9</v>
      </c>
      <c r="N24" t="s" vm="67">
        <v>23</v>
      </c>
      <c r="O24" vm="1324">
        <v>43.9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vm="1323">
        <v>3.9</v>
      </c>
      <c r="V24" t="e">
        <v>#N/A</v>
      </c>
    </row>
    <row r="25" spans="10:22" x14ac:dyDescent="0.4">
      <c r="J25" t="s" vm="63">
        <v>22</v>
      </c>
      <c r="K25" vm="1321">
        <v>57.4</v>
      </c>
      <c r="L25" vm="1322">
        <v>1.2</v>
      </c>
      <c r="N25" t="s" vm="63">
        <v>22</v>
      </c>
      <c r="O25" vm="1321">
        <v>57.4</v>
      </c>
      <c r="P25" t="e">
        <v>#N/A</v>
      </c>
      <c r="Q25" vm="1320">
        <v>1.2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</row>
    <row r="26" spans="10:22" x14ac:dyDescent="0.4">
      <c r="J26" t="s" vm="59">
        <v>21</v>
      </c>
      <c r="K26" vm="1318">
        <v>29.6</v>
      </c>
      <c r="L26" vm="1319">
        <v>2.1</v>
      </c>
      <c r="N26" t="s" vm="59">
        <v>21</v>
      </c>
      <c r="O26" vm="1318">
        <v>29.6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vm="1317">
        <v>2.1</v>
      </c>
      <c r="V26" t="e">
        <v>#N/A</v>
      </c>
    </row>
    <row r="27" spans="10:22" x14ac:dyDescent="0.4">
      <c r="J27" t="s" vm="55">
        <v>20</v>
      </c>
      <c r="K27" vm="1315">
        <v>20.3</v>
      </c>
      <c r="L27" vm="1316">
        <v>7.4</v>
      </c>
      <c r="N27" t="s" vm="55">
        <v>20</v>
      </c>
      <c r="O27" vm="1315">
        <v>20.3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vm="1314">
        <v>7.4</v>
      </c>
    </row>
    <row r="28" spans="10:22" x14ac:dyDescent="0.4">
      <c r="J28" t="s" vm="51">
        <v>19</v>
      </c>
      <c r="K28" vm="1312">
        <v>22.1</v>
      </c>
      <c r="L28" vm="1313">
        <v>3.8</v>
      </c>
      <c r="N28" t="s" vm="51">
        <v>19</v>
      </c>
      <c r="O28" vm="1312">
        <v>22.1</v>
      </c>
      <c r="P28" t="e">
        <v>#N/A</v>
      </c>
      <c r="Q28" t="e">
        <v>#N/A</v>
      </c>
      <c r="R28" t="e">
        <v>#N/A</v>
      </c>
      <c r="S28" vm="1311">
        <v>3.8</v>
      </c>
      <c r="T28" t="e">
        <v>#N/A</v>
      </c>
      <c r="U28" t="e">
        <v>#N/A</v>
      </c>
      <c r="V28" t="e">
        <v>#N/A</v>
      </c>
    </row>
    <row r="29" spans="10:22" x14ac:dyDescent="0.4">
      <c r="J29" t="s" vm="47">
        <v>18</v>
      </c>
      <c r="K29" vm="1309">
        <v>34.5</v>
      </c>
      <c r="L29" vm="1310">
        <v>3.6</v>
      </c>
      <c r="N29" t="s" vm="47">
        <v>18</v>
      </c>
      <c r="O29" vm="1309">
        <v>34.5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vm="1308">
        <v>3.6</v>
      </c>
      <c r="V29" t="e">
        <v>#N/A</v>
      </c>
    </row>
    <row r="30" spans="10:22" x14ac:dyDescent="0.4">
      <c r="J30" t="s" vm="43">
        <v>17</v>
      </c>
      <c r="K30" vm="1306">
        <v>19.899999999999999</v>
      </c>
      <c r="L30" vm="1307">
        <v>-2.9</v>
      </c>
      <c r="N30" t="s" vm="43">
        <v>17</v>
      </c>
      <c r="O30" vm="1306">
        <v>19.899999999999999</v>
      </c>
      <c r="P30" t="e">
        <v>#N/A</v>
      </c>
      <c r="Q30" t="e">
        <v>#N/A</v>
      </c>
      <c r="R30" t="e">
        <v>#N/A</v>
      </c>
      <c r="S30" vm="1305">
        <v>-2.9</v>
      </c>
      <c r="T30" t="e">
        <v>#N/A</v>
      </c>
      <c r="U30" t="e">
        <v>#N/A</v>
      </c>
      <c r="V30" t="e">
        <v>#N/A</v>
      </c>
    </row>
    <row r="31" spans="10:22" x14ac:dyDescent="0.4">
      <c r="J31" t="s" vm="39">
        <v>16</v>
      </c>
      <c r="K31" vm="1303">
        <v>60</v>
      </c>
      <c r="L31" vm="1304">
        <v>5.3</v>
      </c>
      <c r="N31" t="s" vm="39">
        <v>16</v>
      </c>
      <c r="O31" vm="1303">
        <v>60</v>
      </c>
      <c r="P31" t="e">
        <v>#N/A</v>
      </c>
      <c r="Q31" vm="1302">
        <v>5.3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300">
        <v>34.9</v>
      </c>
      <c r="L32" vm="1301">
        <v>2.2000000000000002</v>
      </c>
      <c r="N32" t="s" vm="35">
        <v>15</v>
      </c>
      <c r="O32" vm="1300">
        <v>34.9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vm="1299">
        <v>2.2000000000000002</v>
      </c>
      <c r="V32" t="e">
        <v>#N/A</v>
      </c>
    </row>
    <row r="33" spans="10:22" x14ac:dyDescent="0.4">
      <c r="J33" t="s" vm="31">
        <v>14</v>
      </c>
      <c r="K33" vm="1297">
        <v>51</v>
      </c>
      <c r="L33" vm="1298">
        <v>7.9</v>
      </c>
      <c r="N33" t="s" vm="31">
        <v>14</v>
      </c>
      <c r="O33" vm="1297">
        <v>51</v>
      </c>
      <c r="P33" t="e">
        <v>#N/A</v>
      </c>
      <c r="Q33" t="e">
        <v>#N/A</v>
      </c>
      <c r="R33" vm="1296">
        <v>7.9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294">
        <v>71.5</v>
      </c>
      <c r="L34" vm="1295">
        <v>-0.8</v>
      </c>
      <c r="N34" t="s" vm="27">
        <v>13</v>
      </c>
      <c r="O34" vm="1294">
        <v>71.5</v>
      </c>
      <c r="P34" t="e">
        <v>#N/A</v>
      </c>
      <c r="Q34" vm="1293">
        <v>-0.8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291">
        <v>12.6</v>
      </c>
      <c r="L35" vm="1292">
        <v>-3.3</v>
      </c>
      <c r="N35" t="s" vm="23">
        <v>12</v>
      </c>
      <c r="O35" vm="1291">
        <v>12.6</v>
      </c>
      <c r="P35" t="e">
        <v>#N/A</v>
      </c>
      <c r="Q35" t="e">
        <v>#N/A</v>
      </c>
      <c r="R35" t="e">
        <v>#N/A</v>
      </c>
      <c r="S35" t="e">
        <v>#N/A</v>
      </c>
      <c r="T35" vm="1290">
        <v>-3.3</v>
      </c>
      <c r="U35" t="e">
        <v>#N/A</v>
      </c>
      <c r="V35" t="e">
        <v>#N/A</v>
      </c>
    </row>
    <row r="36" spans="10:22" x14ac:dyDescent="0.4">
      <c r="J36" t="s" vm="19">
        <v>11</v>
      </c>
      <c r="K36" vm="1288">
        <v>55.5</v>
      </c>
      <c r="L36" vm="1289">
        <v>8.3000000000000007</v>
      </c>
      <c r="N36" t="s" vm="19">
        <v>11</v>
      </c>
      <c r="O36" vm="1288">
        <v>55.5</v>
      </c>
      <c r="P36" t="e">
        <v>#N/A</v>
      </c>
      <c r="Q36" t="e">
        <v>#N/A</v>
      </c>
      <c r="R36" vm="1287">
        <v>8.3000000000000007</v>
      </c>
      <c r="S36" t="e">
        <v>#N/A</v>
      </c>
      <c r="T36" t="e">
        <v>#N/A</v>
      </c>
      <c r="U36" t="e">
        <v>#N/A</v>
      </c>
      <c r="V36" t="e">
        <v>#N/A</v>
      </c>
    </row>
    <row r="37" spans="10:22" x14ac:dyDescent="0.4">
      <c r="J37" t="s" vm="15">
        <v>10</v>
      </c>
      <c r="K37" vm="1285">
        <v>12.3</v>
      </c>
      <c r="L37" vm="1286">
        <v>0</v>
      </c>
      <c r="N37" t="s" vm="15">
        <v>10</v>
      </c>
      <c r="O37" vm="1285">
        <v>12.3</v>
      </c>
      <c r="P37" t="e">
        <v>#N/A</v>
      </c>
      <c r="Q37" t="e">
        <v>#N/A</v>
      </c>
      <c r="R37" t="e">
        <v>#N/A</v>
      </c>
      <c r="S37" t="e">
        <v>#N/A</v>
      </c>
      <c r="T37" vm="1284">
        <v>0</v>
      </c>
      <c r="U37" t="e">
        <v>#N/A</v>
      </c>
      <c r="V37" t="e">
        <v>#N/A</v>
      </c>
    </row>
    <row r="38" spans="10:22" x14ac:dyDescent="0.4">
      <c r="J38" t="s" vm="11">
        <v>9</v>
      </c>
      <c r="K38" vm="1282">
        <v>56.9</v>
      </c>
      <c r="L38" vm="1283">
        <v>2.5</v>
      </c>
      <c r="N38" t="s" vm="11">
        <v>9</v>
      </c>
      <c r="O38" vm="1282">
        <v>56.9</v>
      </c>
      <c r="P38" t="e">
        <v>#N/A</v>
      </c>
      <c r="Q38" vm="1281">
        <v>2.5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</row>
    <row r="39" spans="10:22" x14ac:dyDescent="0.4">
      <c r="J39" t="s" vm="7">
        <v>8</v>
      </c>
      <c r="K39" vm="1279">
        <v>56.6</v>
      </c>
      <c r="L39" vm="1280">
        <v>4.3</v>
      </c>
      <c r="N39" t="s" vm="7">
        <v>8</v>
      </c>
      <c r="O39" vm="1279">
        <v>56.6</v>
      </c>
      <c r="P39" t="e">
        <v>#N/A</v>
      </c>
      <c r="Q39" t="e">
        <v>#N/A</v>
      </c>
      <c r="R39" vm="1278">
        <v>4.3</v>
      </c>
      <c r="S39" t="e">
        <v>#N/A</v>
      </c>
      <c r="T39" t="e">
        <v>#N/A</v>
      </c>
      <c r="U39" t="e">
        <v>#N/A</v>
      </c>
      <c r="V39" t="e">
        <v>#N/A</v>
      </c>
    </row>
    <row r="40" spans="10:22" x14ac:dyDescent="0.4">
      <c r="J40" t="s" vm="3">
        <v>7</v>
      </c>
      <c r="K40" vm="1276">
        <v>1</v>
      </c>
      <c r="L40" vm="1277">
        <v>-1.3</v>
      </c>
      <c r="N40" t="s" vm="3">
        <v>7</v>
      </c>
      <c r="O40" vm="1276">
        <v>1</v>
      </c>
      <c r="P40" t="e">
        <v>#N/A</v>
      </c>
      <c r="Q40" t="e">
        <v>#N/A</v>
      </c>
      <c r="R40" t="e">
        <v>#N/A</v>
      </c>
      <c r="S40" t="e">
        <v>#N/A</v>
      </c>
      <c r="T40" vm="1275">
        <v>-1.3</v>
      </c>
      <c r="U40" t="e">
        <v>#N/A</v>
      </c>
      <c r="V40" t="e">
        <v>#N/A</v>
      </c>
    </row>
    <row r="43" spans="10:22" x14ac:dyDescent="0.4">
      <c r="J43" t="s">
        <v>6</v>
      </c>
      <c r="K43" s="1">
        <v>1</v>
      </c>
      <c r="L43" s="1">
        <v>-4.8</v>
      </c>
    </row>
    <row r="44" spans="10:22" x14ac:dyDescent="0.4">
      <c r="J44" t="s">
        <v>5</v>
      </c>
      <c r="K44" s="1">
        <v>71.5</v>
      </c>
      <c r="L44" s="1">
        <v>12.5</v>
      </c>
    </row>
    <row r="45" spans="10:22" x14ac:dyDescent="0.4">
      <c r="J45" t="s">
        <v>4</v>
      </c>
      <c r="K45" s="1">
        <v>36.874074074074073</v>
      </c>
      <c r="L45" s="2">
        <v>2.4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1</v>
      </c>
      <c r="L48">
        <v>2.4</v>
      </c>
    </row>
    <row r="49" spans="10:12" x14ac:dyDescent="0.4">
      <c r="K49" s="1">
        <v>71.5</v>
      </c>
      <c r="L49" s="2">
        <v>2.4</v>
      </c>
    </row>
    <row r="51" spans="10:12" x14ac:dyDescent="0.4">
      <c r="J51" t="s">
        <v>0</v>
      </c>
      <c r="K51" s="2">
        <v>36.874074074074073</v>
      </c>
      <c r="L51" s="1">
        <v>-4.8</v>
      </c>
    </row>
    <row r="52" spans="10:12" x14ac:dyDescent="0.4">
      <c r="K52" s="2">
        <v>36.874074074074073</v>
      </c>
      <c r="L52" s="1">
        <v>12.5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>
                <anchor moveWithCells="1" sizeWithCells="1">
                  <from>
                    <xdr:col>16</xdr:col>
                    <xdr:colOff>38100</xdr:colOff>
                    <xdr:row>43</xdr:row>
                    <xdr:rowOff>163286</xdr:rowOff>
                  </from>
                  <to>
                    <xdr:col>19</xdr:col>
                    <xdr:colOff>332014</xdr:colOff>
                    <xdr:row>50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B4A4-8E06-4705-A5AB-C6092631D1AE}">
  <sheetPr codeName="Sheet19"/>
  <dimension ref="B4:V52"/>
  <sheetViews>
    <sheetView zoomScale="70" zoomScaleNormal="70" workbookViewId="0">
      <selection activeCell="C10" sqref="C10:G14"/>
    </sheetView>
  </sheetViews>
  <sheetFormatPr defaultRowHeight="14.6" x14ac:dyDescent="0.4"/>
  <cols>
    <col min="2" max="7" width="24.765625" customWidth="1"/>
    <col min="10" max="10" width="9.3046875" customWidth="1"/>
    <col min="11" max="12" width="7.53515625" customWidth="1"/>
    <col min="14" max="14" width="7" customWidth="1"/>
    <col min="15" max="22" width="8.3046875" customWidth="1"/>
  </cols>
  <sheetData>
    <row r="4" spans="2:22" ht="15" thickBot="1" x14ac:dyDescent="0.45"/>
    <row r="5" spans="2:22" ht="15" thickTop="1" x14ac:dyDescent="0.4">
      <c r="B5" s="33" t="str" vm="1439">
        <f>K6</f>
        <v>2023</v>
      </c>
      <c r="C5" s="34"/>
      <c r="D5" s="34"/>
      <c r="E5" s="34"/>
      <c r="F5" s="34"/>
      <c r="G5" s="35"/>
      <c r="J5" t="s">
        <v>49</v>
      </c>
      <c r="K5" t="s" vm="1440">
        <v>91</v>
      </c>
    </row>
    <row r="6" spans="2:22" ht="15" thickBot="1" x14ac:dyDescent="0.45">
      <c r="B6" s="5"/>
      <c r="C6" s="6"/>
      <c r="D6" s="6"/>
      <c r="E6" s="6"/>
      <c r="F6" s="6"/>
      <c r="G6" s="7"/>
      <c r="J6" t="s">
        <v>47</v>
      </c>
      <c r="K6" t="s" vm="1439">
        <v>52</v>
      </c>
    </row>
    <row r="7" spans="2:22" ht="15.45" thickTop="1" thickBot="1" x14ac:dyDescent="0.45">
      <c r="B7" s="8"/>
      <c r="C7" s="8"/>
      <c r="D7" s="8"/>
      <c r="E7" s="8"/>
      <c r="F7" s="8"/>
      <c r="G7" s="8"/>
      <c r="J7" t="s">
        <v>45</v>
      </c>
      <c r="K7" t="s">
        <v>90</v>
      </c>
    </row>
    <row r="8" spans="2:22" ht="16.75" thickTop="1" thickBot="1" x14ac:dyDescent="0.45">
      <c r="B8" s="36" t="str">
        <f>CONCATENATE("Level ",H7)</f>
        <v xml:space="preserve">Level </v>
      </c>
      <c r="C8" s="38" t="s">
        <v>42</v>
      </c>
      <c r="D8" s="38"/>
      <c r="E8" s="38"/>
      <c r="F8" s="38"/>
      <c r="G8" s="39"/>
    </row>
    <row r="9" spans="2:22" ht="16.75" thickTop="1" thickBot="1" x14ac:dyDescent="0.45">
      <c r="B9" s="37"/>
      <c r="C9" s="9" t="s">
        <v>92</v>
      </c>
      <c r="D9" s="10" t="s">
        <v>93</v>
      </c>
      <c r="E9" s="11" t="s">
        <v>94</v>
      </c>
      <c r="F9" s="12" t="s">
        <v>95</v>
      </c>
      <c r="G9" s="13" t="s">
        <v>96</v>
      </c>
      <c r="K9" t="s">
        <v>89</v>
      </c>
    </row>
    <row r="10" spans="2:22" ht="16.75" thickTop="1" thickBot="1" x14ac:dyDescent="0.45">
      <c r="B10" s="14" t="s">
        <v>97</v>
      </c>
      <c r="C10" s="15"/>
      <c r="D10" s="16"/>
      <c r="E10" s="17"/>
      <c r="F10" s="16"/>
      <c r="G10" s="18"/>
    </row>
    <row r="11" spans="2:22" ht="16.3" thickBot="1" x14ac:dyDescent="0.45">
      <c r="B11" s="19" t="s">
        <v>98</v>
      </c>
      <c r="C11" s="20"/>
      <c r="D11" s="21" t="s">
        <v>122</v>
      </c>
      <c r="E11" s="21" t="s">
        <v>123</v>
      </c>
      <c r="F11" s="22"/>
      <c r="G11" s="23"/>
    </row>
    <row r="12" spans="2:22" ht="16.3" thickBot="1" x14ac:dyDescent="0.45">
      <c r="B12" s="19" t="s">
        <v>94</v>
      </c>
      <c r="C12" s="20"/>
      <c r="D12" s="24" t="s">
        <v>124</v>
      </c>
      <c r="E12" s="24" t="s">
        <v>125</v>
      </c>
      <c r="F12" s="24" t="s">
        <v>12</v>
      </c>
      <c r="G12" s="25"/>
      <c r="J12" s="3"/>
      <c r="K12" s="3"/>
      <c r="L12" s="3"/>
      <c r="O12" s="4"/>
      <c r="P12" s="3"/>
      <c r="Q12" s="3"/>
      <c r="R12" s="3"/>
      <c r="S12" s="3"/>
      <c r="T12" s="3"/>
      <c r="U12" s="3"/>
      <c r="V12" s="3"/>
    </row>
    <row r="13" spans="2:22" ht="16.3" thickBot="1" x14ac:dyDescent="0.45">
      <c r="B13" s="26" t="s">
        <v>99</v>
      </c>
      <c r="C13" s="27"/>
      <c r="D13" s="28"/>
      <c r="E13" s="28" t="s">
        <v>10</v>
      </c>
      <c r="F13" s="28"/>
      <c r="G13" s="25"/>
      <c r="J13" t="s">
        <v>43</v>
      </c>
      <c r="K13" t="s">
        <v>41</v>
      </c>
      <c r="L13" t="s">
        <v>42</v>
      </c>
      <c r="O13" t="s">
        <v>41</v>
      </c>
      <c r="P13" t="s" vm="115">
        <v>40</v>
      </c>
      <c r="Q13" t="s" vm="114">
        <v>39</v>
      </c>
      <c r="R13" t="s" vm="113">
        <v>38</v>
      </c>
      <c r="S13" t="s" vm="112">
        <v>37</v>
      </c>
      <c r="T13" t="s" vm="111">
        <v>36</v>
      </c>
      <c r="U13" t="s" vm="110">
        <v>35</v>
      </c>
      <c r="V13" t="s" vm="109">
        <v>34</v>
      </c>
    </row>
    <row r="14" spans="2:22" ht="16.3" thickBot="1" x14ac:dyDescent="0.45">
      <c r="B14" s="29" t="s">
        <v>100</v>
      </c>
      <c r="C14" s="30"/>
      <c r="D14" s="31"/>
      <c r="E14" s="31"/>
      <c r="F14" s="31" t="s">
        <v>23</v>
      </c>
      <c r="G14" s="32" t="s">
        <v>126</v>
      </c>
      <c r="J14" t="s" vm="107">
        <v>33</v>
      </c>
      <c r="K14" vm="1437">
        <v>0.6</v>
      </c>
      <c r="L14" vm="1438">
        <v>0.1</v>
      </c>
      <c r="N14" t="s" vm="107">
        <v>33</v>
      </c>
      <c r="O14" vm="1437">
        <v>0.6</v>
      </c>
      <c r="P14" t="e">
        <v>#N/A</v>
      </c>
      <c r="Q14" t="e">
        <v>#N/A</v>
      </c>
      <c r="R14" vm="1436">
        <v>0.1</v>
      </c>
      <c r="S14" t="e">
        <v>#N/A</v>
      </c>
      <c r="T14" t="e">
        <v>#N/A</v>
      </c>
      <c r="U14" t="e">
        <v>#N/A</v>
      </c>
      <c r="V14" t="e">
        <v>#N/A</v>
      </c>
    </row>
    <row r="15" spans="2:22" ht="15" thickTop="1" x14ac:dyDescent="0.4">
      <c r="J15" t="s" vm="103">
        <v>32</v>
      </c>
      <c r="K15" vm="1434">
        <v>1.1000000000000001</v>
      </c>
      <c r="L15" vm="1435">
        <v>0.1</v>
      </c>
      <c r="N15" t="s" vm="103">
        <v>32</v>
      </c>
      <c r="O15" vm="1434">
        <v>1.1000000000000001</v>
      </c>
      <c r="P15" t="e">
        <v>#N/A</v>
      </c>
      <c r="Q15" t="e">
        <v>#N/A</v>
      </c>
      <c r="R15" vm="1433">
        <v>0.1</v>
      </c>
      <c r="S15" t="e">
        <v>#N/A</v>
      </c>
      <c r="T15" t="e">
        <v>#N/A</v>
      </c>
      <c r="U15" t="e">
        <v>#N/A</v>
      </c>
      <c r="V15" t="e">
        <v>#N/A</v>
      </c>
    </row>
    <row r="16" spans="2:22" x14ac:dyDescent="0.4">
      <c r="J16" t="s" vm="99">
        <v>31</v>
      </c>
      <c r="K16" vm="1431">
        <v>1.1000000000000001</v>
      </c>
      <c r="L16" vm="1432">
        <v>0.1</v>
      </c>
      <c r="N16" t="s" vm="99">
        <v>31</v>
      </c>
      <c r="O16" vm="1431">
        <v>1.1000000000000001</v>
      </c>
      <c r="P16" t="e">
        <v>#N/A</v>
      </c>
      <c r="Q16" t="e">
        <v>#N/A</v>
      </c>
      <c r="R16" vm="1430">
        <v>0.1</v>
      </c>
      <c r="S16" t="e">
        <v>#N/A</v>
      </c>
      <c r="T16" t="e">
        <v>#N/A</v>
      </c>
      <c r="U16" t="e">
        <v>#N/A</v>
      </c>
      <c r="V16" t="e">
        <v>#N/A</v>
      </c>
    </row>
    <row r="17" spans="10:22" x14ac:dyDescent="0.4">
      <c r="J17" t="s" vm="95">
        <v>30</v>
      </c>
      <c r="K17" vm="1428">
        <v>0.1</v>
      </c>
      <c r="L17" vm="1429">
        <v>0</v>
      </c>
      <c r="N17" t="s" vm="95">
        <v>30</v>
      </c>
      <c r="O17" vm="1428">
        <v>0.1</v>
      </c>
      <c r="P17" t="e">
        <v>#N/A</v>
      </c>
      <c r="Q17" t="e">
        <v>#N/A</v>
      </c>
      <c r="R17" vm="1427">
        <v>0</v>
      </c>
      <c r="S17" t="e">
        <v>#N/A</v>
      </c>
      <c r="T17" t="e">
        <v>#N/A</v>
      </c>
      <c r="U17" t="e">
        <v>#N/A</v>
      </c>
      <c r="V17" t="e">
        <v>#N/A</v>
      </c>
    </row>
    <row r="18" spans="10:22" x14ac:dyDescent="0.4">
      <c r="J18" t="s" vm="91">
        <v>29</v>
      </c>
      <c r="K18" vm="1425">
        <v>0.4</v>
      </c>
      <c r="L18" vm="1426">
        <v>0.2</v>
      </c>
      <c r="N18" t="s" vm="91">
        <v>29</v>
      </c>
      <c r="O18" vm="1425">
        <v>0.4</v>
      </c>
      <c r="P18" t="e">
        <v>#N/A</v>
      </c>
      <c r="Q18" t="e">
        <v>#N/A</v>
      </c>
      <c r="R18" vm="1424">
        <v>0.2</v>
      </c>
      <c r="S18" t="e">
        <v>#N/A</v>
      </c>
      <c r="T18" t="e">
        <v>#N/A</v>
      </c>
      <c r="U18" t="e">
        <v>#N/A</v>
      </c>
      <c r="V18" t="e">
        <v>#N/A</v>
      </c>
    </row>
    <row r="19" spans="10:22" x14ac:dyDescent="0.4">
      <c r="J19" t="s" vm="87">
        <v>28</v>
      </c>
      <c r="K19" vm="1422">
        <v>0.2</v>
      </c>
      <c r="L19" vm="1423">
        <v>-0.1</v>
      </c>
      <c r="N19" t="s" vm="87">
        <v>28</v>
      </c>
      <c r="O19" vm="1422">
        <v>0.2</v>
      </c>
      <c r="P19" t="e">
        <v>#N/A</v>
      </c>
      <c r="Q19" t="e">
        <v>#N/A</v>
      </c>
      <c r="R19" vm="1421">
        <v>-0.1</v>
      </c>
      <c r="S19" t="e">
        <v>#N/A</v>
      </c>
      <c r="T19" t="e">
        <v>#N/A</v>
      </c>
      <c r="U19" t="e">
        <v>#N/A</v>
      </c>
      <c r="V19" t="e">
        <v>#N/A</v>
      </c>
    </row>
    <row r="20" spans="10:22" x14ac:dyDescent="0.4">
      <c r="J20" t="s" vm="83">
        <v>27</v>
      </c>
      <c r="K20" vm="1419">
        <v>2.7</v>
      </c>
      <c r="L20" vm="1420">
        <v>0.6</v>
      </c>
      <c r="N20" t="s" vm="83">
        <v>27</v>
      </c>
      <c r="O20" vm="1419">
        <v>2.7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vm="1418">
        <v>0.6</v>
      </c>
      <c r="V20" t="e">
        <v>#N/A</v>
      </c>
    </row>
    <row r="21" spans="10:22" x14ac:dyDescent="0.4">
      <c r="J21" t="s" vm="79">
        <v>26</v>
      </c>
      <c r="K21" vm="1416">
        <v>12.9</v>
      </c>
      <c r="L21" vm="1417">
        <v>3.8</v>
      </c>
      <c r="N21" t="s" vm="79">
        <v>26</v>
      </c>
      <c r="O21" vm="1416">
        <v>12.9</v>
      </c>
      <c r="P21" t="e">
        <v>#N/A</v>
      </c>
      <c r="Q21" t="e">
        <v>#N/A</v>
      </c>
      <c r="R21" t="e">
        <v>#N/A</v>
      </c>
      <c r="S21" t="e">
        <v>#N/A</v>
      </c>
      <c r="T21" vm="1415">
        <v>3.8</v>
      </c>
      <c r="U21" t="e">
        <v>#N/A</v>
      </c>
      <c r="V21" t="e">
        <v>#N/A</v>
      </c>
    </row>
    <row r="22" spans="10:22" x14ac:dyDescent="0.4">
      <c r="J22" t="s" vm="75">
        <v>25</v>
      </c>
      <c r="K22" vm="1413">
        <v>11.6</v>
      </c>
      <c r="L22" vm="1414">
        <v>2.6</v>
      </c>
      <c r="N22" t="s" vm="75">
        <v>25</v>
      </c>
      <c r="O22" vm="1413">
        <v>11.6</v>
      </c>
      <c r="P22" t="e">
        <v>#N/A</v>
      </c>
      <c r="Q22" t="e">
        <v>#N/A</v>
      </c>
      <c r="R22" t="e">
        <v>#N/A</v>
      </c>
      <c r="S22" t="e">
        <v>#N/A</v>
      </c>
      <c r="T22" vm="1412">
        <v>2.6</v>
      </c>
      <c r="U22" t="e">
        <v>#N/A</v>
      </c>
      <c r="V22" t="e">
        <v>#N/A</v>
      </c>
    </row>
    <row r="23" spans="10:22" x14ac:dyDescent="0.4">
      <c r="J23" t="s" vm="71">
        <v>24</v>
      </c>
      <c r="K23" vm="1410">
        <v>1.8</v>
      </c>
      <c r="L23" vm="1411">
        <v>0.6</v>
      </c>
      <c r="N23" t="s" vm="71">
        <v>24</v>
      </c>
      <c r="O23" vm="1410">
        <v>1.8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vm="1409">
        <v>0.6</v>
      </c>
      <c r="V23" t="e">
        <v>#N/A</v>
      </c>
    </row>
    <row r="24" spans="10:22" x14ac:dyDescent="0.4">
      <c r="J24" t="s" vm="67">
        <v>23</v>
      </c>
      <c r="K24" vm="1407">
        <v>7.9</v>
      </c>
      <c r="L24" vm="1408">
        <v>1.4</v>
      </c>
      <c r="N24" t="s" vm="67">
        <v>23</v>
      </c>
      <c r="O24" vm="1407">
        <v>7.9</v>
      </c>
      <c r="P24" t="e">
        <v>#N/A</v>
      </c>
      <c r="Q24" t="e">
        <v>#N/A</v>
      </c>
      <c r="R24" t="e">
        <v>#N/A</v>
      </c>
      <c r="S24" t="e">
        <v>#N/A</v>
      </c>
      <c r="T24" vm="1406">
        <v>1.4</v>
      </c>
      <c r="U24" t="e">
        <v>#N/A</v>
      </c>
      <c r="V24" t="e">
        <v>#N/A</v>
      </c>
    </row>
    <row r="25" spans="10:22" x14ac:dyDescent="0.4">
      <c r="J25" t="s" vm="63">
        <v>22</v>
      </c>
      <c r="K25" vm="1404">
        <v>3.7</v>
      </c>
      <c r="L25" vm="1405">
        <v>0.5</v>
      </c>
      <c r="N25" t="s" vm="63">
        <v>22</v>
      </c>
      <c r="O25" vm="1404">
        <v>3.7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vm="1403">
        <v>0.5</v>
      </c>
      <c r="V25" t="e">
        <v>#N/A</v>
      </c>
    </row>
    <row r="26" spans="10:22" x14ac:dyDescent="0.4">
      <c r="J26" t="s" vm="59">
        <v>21</v>
      </c>
      <c r="K26" vm="1401">
        <v>1</v>
      </c>
      <c r="L26" vm="1402">
        <v>-0.3</v>
      </c>
      <c r="N26" t="s" vm="59">
        <v>21</v>
      </c>
      <c r="O26" vm="1401">
        <v>1</v>
      </c>
      <c r="P26" t="e">
        <v>#N/A</v>
      </c>
      <c r="Q26" t="e">
        <v>#N/A</v>
      </c>
      <c r="R26" vm="1400">
        <v>-0.3</v>
      </c>
      <c r="S26" t="e">
        <v>#N/A</v>
      </c>
      <c r="T26" t="e">
        <v>#N/A</v>
      </c>
      <c r="U26" t="e">
        <v>#N/A</v>
      </c>
      <c r="V26" t="e">
        <v>#N/A</v>
      </c>
    </row>
    <row r="27" spans="10:22" x14ac:dyDescent="0.4">
      <c r="J27" t="s" vm="55">
        <v>20</v>
      </c>
      <c r="K27" vm="1398">
        <v>1</v>
      </c>
      <c r="L27" vm="1399">
        <v>-0.4</v>
      </c>
      <c r="N27" t="s" vm="55">
        <v>20</v>
      </c>
      <c r="O27" vm="1398">
        <v>1</v>
      </c>
      <c r="P27" t="e">
        <v>#N/A</v>
      </c>
      <c r="Q27" t="e">
        <v>#N/A</v>
      </c>
      <c r="R27" vm="1397">
        <v>-0.4</v>
      </c>
      <c r="S27" t="e">
        <v>#N/A</v>
      </c>
      <c r="T27" t="e">
        <v>#N/A</v>
      </c>
      <c r="U27" t="e">
        <v>#N/A</v>
      </c>
      <c r="V27" t="e">
        <v>#N/A</v>
      </c>
    </row>
    <row r="28" spans="10:22" x14ac:dyDescent="0.4">
      <c r="J28" t="s" vm="51">
        <v>19</v>
      </c>
      <c r="K28" vm="1395">
        <v>2.7</v>
      </c>
      <c r="L28" vm="1396">
        <v>0</v>
      </c>
      <c r="N28" t="s" vm="51">
        <v>19</v>
      </c>
      <c r="O28" vm="1395">
        <v>2.7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vm="1394">
        <v>0</v>
      </c>
      <c r="V28" t="e">
        <v>#N/A</v>
      </c>
    </row>
    <row r="29" spans="10:22" x14ac:dyDescent="0.4">
      <c r="J29" t="s" vm="47">
        <v>18</v>
      </c>
      <c r="K29" vm="1392">
        <v>1.8</v>
      </c>
      <c r="L29" vm="1393">
        <v>0</v>
      </c>
      <c r="N29" t="s" vm="47">
        <v>18</v>
      </c>
      <c r="O29" vm="1392">
        <v>1.8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vm="1391">
        <v>0</v>
      </c>
      <c r="V29" t="e">
        <v>#N/A</v>
      </c>
    </row>
    <row r="30" spans="10:22" x14ac:dyDescent="0.4">
      <c r="J30" t="s" vm="43">
        <v>17</v>
      </c>
      <c r="K30" vm="1389">
        <v>3.8</v>
      </c>
      <c r="L30" vm="1390">
        <v>0.9</v>
      </c>
      <c r="N30" t="s" vm="43">
        <v>17</v>
      </c>
      <c r="O30" vm="1389">
        <v>3.8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vm="1388">
        <v>0.9</v>
      </c>
      <c r="V30" t="e">
        <v>#N/A</v>
      </c>
    </row>
    <row r="31" spans="10:22" x14ac:dyDescent="0.4">
      <c r="J31" t="s" vm="39">
        <v>16</v>
      </c>
      <c r="K31" vm="1386">
        <v>0.8</v>
      </c>
      <c r="L31" vm="1387">
        <v>0.3</v>
      </c>
      <c r="N31" t="s" vm="39">
        <v>16</v>
      </c>
      <c r="O31" vm="1386">
        <v>0.8</v>
      </c>
      <c r="P31" t="e">
        <v>#N/A</v>
      </c>
      <c r="Q31" t="e">
        <v>#N/A</v>
      </c>
      <c r="R31" vm="1385">
        <v>0.3</v>
      </c>
      <c r="S31" t="e">
        <v>#N/A</v>
      </c>
      <c r="T31" t="e">
        <v>#N/A</v>
      </c>
      <c r="U31" t="e">
        <v>#N/A</v>
      </c>
      <c r="V31" t="e">
        <v>#N/A</v>
      </c>
    </row>
    <row r="32" spans="10:22" x14ac:dyDescent="0.4">
      <c r="J32" t="s" vm="35">
        <v>15</v>
      </c>
      <c r="K32" vm="1383">
        <v>7.8</v>
      </c>
      <c r="L32" vm="1384">
        <v>2.4</v>
      </c>
      <c r="N32" t="s" vm="35">
        <v>15</v>
      </c>
      <c r="O32" vm="1383">
        <v>7.8</v>
      </c>
      <c r="P32" t="e">
        <v>#N/A</v>
      </c>
      <c r="Q32" t="e">
        <v>#N/A</v>
      </c>
      <c r="R32" t="e">
        <v>#N/A</v>
      </c>
      <c r="S32" t="e">
        <v>#N/A</v>
      </c>
      <c r="T32" vm="1382">
        <v>2.4</v>
      </c>
      <c r="U32" t="e">
        <v>#N/A</v>
      </c>
      <c r="V32" t="e">
        <v>#N/A</v>
      </c>
    </row>
    <row r="33" spans="10:22" x14ac:dyDescent="0.4">
      <c r="J33" t="s" vm="31">
        <v>14</v>
      </c>
      <c r="K33" vm="1380">
        <v>0.1</v>
      </c>
      <c r="L33" vm="1381">
        <v>-0.2</v>
      </c>
      <c r="N33" t="s" vm="31">
        <v>14</v>
      </c>
      <c r="O33" vm="1380">
        <v>0.1</v>
      </c>
      <c r="P33" t="e">
        <v>#N/A</v>
      </c>
      <c r="Q33" t="e">
        <v>#N/A</v>
      </c>
      <c r="R33" vm="1379">
        <v>-0.2</v>
      </c>
      <c r="S33" t="e">
        <v>#N/A</v>
      </c>
      <c r="T33" t="e">
        <v>#N/A</v>
      </c>
      <c r="U33" t="e">
        <v>#N/A</v>
      </c>
      <c r="V33" t="e">
        <v>#N/A</v>
      </c>
    </row>
    <row r="34" spans="10:22" x14ac:dyDescent="0.4">
      <c r="J34" t="s" vm="27">
        <v>13</v>
      </c>
      <c r="K34" vm="1377">
        <v>0.3</v>
      </c>
      <c r="L34" vm="1378">
        <v>0.1</v>
      </c>
      <c r="N34" t="s" vm="27">
        <v>13</v>
      </c>
      <c r="O34" vm="1377">
        <v>0.3</v>
      </c>
      <c r="P34" t="e">
        <v>#N/A</v>
      </c>
      <c r="Q34" t="e">
        <v>#N/A</v>
      </c>
      <c r="R34" vm="1376">
        <v>0.1</v>
      </c>
      <c r="S34" t="e">
        <v>#N/A</v>
      </c>
      <c r="T34" t="e">
        <v>#N/A</v>
      </c>
      <c r="U34" t="e">
        <v>#N/A</v>
      </c>
      <c r="V34" t="e">
        <v>#N/A</v>
      </c>
    </row>
    <row r="35" spans="10:22" x14ac:dyDescent="0.4">
      <c r="J35" t="s" vm="23">
        <v>12</v>
      </c>
      <c r="K35" vm="1374">
        <v>3.6</v>
      </c>
      <c r="L35" vm="1375">
        <v>1.3</v>
      </c>
      <c r="N35" t="s" vm="23">
        <v>12</v>
      </c>
      <c r="O35" vm="1374">
        <v>3.6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vm="1373">
        <v>1.3</v>
      </c>
      <c r="V35" t="e">
        <v>#N/A</v>
      </c>
    </row>
    <row r="36" spans="10:22" x14ac:dyDescent="0.4">
      <c r="J36" t="s" vm="19">
        <v>11</v>
      </c>
      <c r="K36" vm="1371">
        <v>2.8</v>
      </c>
      <c r="L36" vm="1372">
        <v>-0.1</v>
      </c>
      <c r="N36" t="s" vm="19">
        <v>11</v>
      </c>
      <c r="O36" vm="1371">
        <v>2.8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vm="1370">
        <v>-0.1</v>
      </c>
      <c r="V36" t="e">
        <v>#N/A</v>
      </c>
    </row>
    <row r="37" spans="10:22" x14ac:dyDescent="0.4">
      <c r="J37" t="s" vm="15">
        <v>10</v>
      </c>
      <c r="K37" vm="1368">
        <v>5.2</v>
      </c>
      <c r="L37" vm="1369">
        <v>0.3</v>
      </c>
      <c r="N37" t="s" vm="15">
        <v>10</v>
      </c>
      <c r="O37" vm="1368">
        <v>5.2</v>
      </c>
      <c r="P37" t="e">
        <v>#N/A</v>
      </c>
      <c r="Q37" t="e">
        <v>#N/A</v>
      </c>
      <c r="R37" t="e">
        <v>#N/A</v>
      </c>
      <c r="S37" vm="1367">
        <v>0.3</v>
      </c>
      <c r="T37" t="e">
        <v>#N/A</v>
      </c>
      <c r="U37" t="e">
        <v>#N/A</v>
      </c>
      <c r="V37" t="e">
        <v>#N/A</v>
      </c>
    </row>
    <row r="38" spans="10:22" x14ac:dyDescent="0.4">
      <c r="J38" t="s" vm="11">
        <v>9</v>
      </c>
      <c r="K38" vm="1365">
        <v>2.1</v>
      </c>
      <c r="L38" vm="1366">
        <v>0.3</v>
      </c>
      <c r="N38" t="s" vm="11">
        <v>9</v>
      </c>
      <c r="O38" vm="1365">
        <v>2.1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vm="1364">
        <v>0.3</v>
      </c>
      <c r="V38" t="e">
        <v>#N/A</v>
      </c>
    </row>
    <row r="39" spans="10:22" x14ac:dyDescent="0.4">
      <c r="J39" t="s" vm="7">
        <v>8</v>
      </c>
      <c r="K39" vm="1362">
        <v>3.8</v>
      </c>
      <c r="L39" vm="1363">
        <v>0.1</v>
      </c>
      <c r="N39" t="s" vm="7">
        <v>8</v>
      </c>
      <c r="O39" vm="1362">
        <v>3.8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vm="1361">
        <v>0.1</v>
      </c>
      <c r="V39" t="e">
        <v>#N/A</v>
      </c>
    </row>
    <row r="40" spans="10:22" x14ac:dyDescent="0.4">
      <c r="J40" t="s" vm="3">
        <v>7</v>
      </c>
      <c r="K40" vm="1359">
        <v>3.2</v>
      </c>
      <c r="L40" vm="1360">
        <v>0.4</v>
      </c>
      <c r="N40" t="s" vm="3">
        <v>7</v>
      </c>
      <c r="O40" vm="1359">
        <v>3.2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vm="1358">
        <v>0.4</v>
      </c>
      <c r="V40" t="e">
        <v>#N/A</v>
      </c>
    </row>
    <row r="43" spans="10:22" x14ac:dyDescent="0.4">
      <c r="J43" t="s">
        <v>6</v>
      </c>
      <c r="K43" s="1">
        <v>0.1</v>
      </c>
      <c r="L43" s="1">
        <v>-0.4</v>
      </c>
    </row>
    <row r="44" spans="10:22" x14ac:dyDescent="0.4">
      <c r="J44" t="s">
        <v>5</v>
      </c>
      <c r="K44" s="1">
        <v>12.9</v>
      </c>
      <c r="L44" s="1">
        <v>3.8</v>
      </c>
    </row>
    <row r="45" spans="10:22" x14ac:dyDescent="0.4">
      <c r="J45" t="s">
        <v>4</v>
      </c>
      <c r="K45" s="1">
        <v>3.1148148148148143</v>
      </c>
      <c r="L45" s="2">
        <v>0.55555555555555569</v>
      </c>
    </row>
    <row r="47" spans="10:22" x14ac:dyDescent="0.4">
      <c r="J47" t="s">
        <v>3</v>
      </c>
      <c r="L47" t="s">
        <v>2</v>
      </c>
    </row>
    <row r="48" spans="10:22" x14ac:dyDescent="0.4">
      <c r="J48" t="s">
        <v>1</v>
      </c>
      <c r="K48" s="1">
        <v>0.1</v>
      </c>
      <c r="L48">
        <v>0.55555555555555569</v>
      </c>
    </row>
    <row r="49" spans="10:12" x14ac:dyDescent="0.4">
      <c r="K49" s="1">
        <v>12.9</v>
      </c>
      <c r="L49" s="2">
        <v>0.55555555555555569</v>
      </c>
    </row>
    <row r="51" spans="10:12" x14ac:dyDescent="0.4">
      <c r="J51" t="s">
        <v>0</v>
      </c>
      <c r="K51" s="2">
        <v>3.1148148148148143</v>
      </c>
      <c r="L51" s="1">
        <v>-0.4</v>
      </c>
    </row>
    <row r="52" spans="10:12" x14ac:dyDescent="0.4">
      <c r="K52" s="2">
        <v>3.1148148148148143</v>
      </c>
      <c r="L52" s="1">
        <v>3.8</v>
      </c>
    </row>
  </sheetData>
  <mergeCells count="3">
    <mergeCell ref="B5:G5"/>
    <mergeCell ref="B8:B9"/>
    <mergeCell ref="C8:G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>
                <anchor moveWithCells="1" sizeWithCells="1">
                  <from>
                    <xdr:col>15</xdr:col>
                    <xdr:colOff>419100</xdr:colOff>
                    <xdr:row>43</xdr:row>
                    <xdr:rowOff>32657</xdr:rowOff>
                  </from>
                  <to>
                    <xdr:col>19</xdr:col>
                    <xdr:colOff>125186</xdr:colOff>
                    <xdr:row>50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ID0</vt:lpstr>
      <vt:lpstr>ID1</vt:lpstr>
      <vt:lpstr>ID4</vt:lpstr>
      <vt:lpstr>ID7</vt:lpstr>
      <vt:lpstr>ID17</vt:lpstr>
      <vt:lpstr>ID20</vt:lpstr>
      <vt:lpstr>ID22</vt:lpstr>
      <vt:lpstr>ID31</vt:lpstr>
      <vt:lpstr>ID50</vt:lpstr>
      <vt:lpstr>ID61</vt:lpstr>
      <vt:lpstr>ID66</vt:lpstr>
      <vt:lpstr>ID83</vt:lpstr>
      <vt:lpstr>ID99</vt:lpstr>
      <vt:lpstr>ID106</vt:lpstr>
      <vt:lpstr>ID109</vt:lpstr>
      <vt:lpstr>ID113</vt:lpstr>
      <vt:lpstr>ID114</vt:lpstr>
    </vt:vector>
  </TitlesOfParts>
  <Company>European Commission 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RUTKOWSKI Aleksander (EMPL)</dc:creator>
  <cp:lastModifiedBy>RUTKOWSKI Aleksander (EMPL)</cp:lastModifiedBy>
  <dcterms:created xsi:type="dcterms:W3CDTF">2024-11-04T08:58:15Z</dcterms:created>
  <dcterms:modified xsi:type="dcterms:W3CDTF">2025-02-11T09:33:57Z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d9ddd1-4d20-43f6-abfa-fc3c07406f94_Enabled">
    <vt:lpwstr>true</vt:lpwstr>
  </property>
  <property fmtid="{D5CDD505-2E9C-101B-9397-08002B2CF9AE}" pid="3" name="MSIP_Label_6bd9ddd1-4d20-43f6-abfa-fc3c07406f94_SetDate">
    <vt:lpwstr>2024-11-04T08:58:16Z</vt:lpwstr>
  </property>
  <property fmtid="{D5CDD505-2E9C-101B-9397-08002B2CF9AE}" pid="4" name="MSIP_Label_6bd9ddd1-4d20-43f6-abfa-fc3c07406f94_Method">
    <vt:lpwstr>Standard</vt:lpwstr>
  </property>
  <property fmtid="{D5CDD505-2E9C-101B-9397-08002B2CF9AE}" pid="5" name="MSIP_Label_6bd9ddd1-4d20-43f6-abfa-fc3c07406f94_Name">
    <vt:lpwstr>Commission Use</vt:lpwstr>
  </property>
  <property fmtid="{D5CDD505-2E9C-101B-9397-08002B2CF9AE}" pid="6" name="MSIP_Label_6bd9ddd1-4d20-43f6-abfa-fc3c07406f94_SiteId">
    <vt:lpwstr>b24c8b06-522c-46fe-9080-70926f8dddb1</vt:lpwstr>
  </property>
  <property fmtid="{D5CDD505-2E9C-101B-9397-08002B2CF9AE}" pid="7" name="MSIP_Label_6bd9ddd1-4d20-43f6-abfa-fc3c07406f94_ActionId">
    <vt:lpwstr>f3ea278e-c60a-4fc9-aba1-8be59559969c</vt:lpwstr>
  </property>
  <property fmtid="{D5CDD505-2E9C-101B-9397-08002B2CF9AE}" pid="8" name="MSIP_Label_6bd9ddd1-4d20-43f6-abfa-fc3c07406f94_ContentBits">
    <vt:lpwstr>0</vt:lpwstr>
  </property>
</Properties>
</file>